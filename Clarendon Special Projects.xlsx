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org\OneDrive\Desktop\"/>
    </mc:Choice>
  </mc:AlternateContent>
  <xr:revisionPtr revIDLastSave="0" documentId="13_ncr:1_{1475B960-827F-490C-8A56-29C42590AA3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Wayland Baptist" sheetId="5" r:id="rId1"/>
    <sheet name="Columbia Basin" sheetId="6" r:id="rId2"/>
    <sheet name="Southern Idaho" sheetId="7" r:id="rId3"/>
    <sheet name="Eastern Florida" sheetId="8" r:id="rId4"/>
  </sheets>
  <definedNames>
    <definedName name="_xlnm._FilterDatabase" localSheetId="1" hidden="1">'Columbia Basin'!$B$3:$F$64</definedName>
    <definedName name="_xlnm._FilterDatabase" localSheetId="3" hidden="1">'Eastern Florida'!$B$3:$F$64</definedName>
    <definedName name="_xlnm._FilterDatabase" localSheetId="2" hidden="1">'Southern Idaho'!$B$3:$F$64</definedName>
    <definedName name="_xlnm._FilterDatabase" localSheetId="0" hidden="1">'Wayland Baptist'!$B$3:$F$64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8" l="1"/>
  <c r="J48" i="8"/>
  <c r="J45" i="8"/>
  <c r="J44" i="8"/>
  <c r="J40" i="8"/>
  <c r="J39" i="8"/>
  <c r="J36" i="8"/>
  <c r="J35" i="8"/>
  <c r="J31" i="8"/>
  <c r="J30" i="8"/>
  <c r="J27" i="8"/>
  <c r="J26" i="8"/>
  <c r="J18" i="8"/>
  <c r="J17" i="8"/>
  <c r="K17" i="8" s="1"/>
  <c r="J14" i="8"/>
  <c r="J13" i="8"/>
  <c r="J6" i="8"/>
  <c r="J5" i="8"/>
  <c r="J49" i="7"/>
  <c r="J48" i="7"/>
  <c r="J45" i="7"/>
  <c r="J44" i="7"/>
  <c r="J40" i="7"/>
  <c r="J39" i="7"/>
  <c r="J36" i="7"/>
  <c r="J35" i="7"/>
  <c r="J31" i="7"/>
  <c r="J30" i="7"/>
  <c r="J27" i="7"/>
  <c r="J26" i="7"/>
  <c r="J18" i="7"/>
  <c r="J17" i="7"/>
  <c r="K17" i="7" s="1"/>
  <c r="J14" i="7"/>
  <c r="J13" i="7"/>
  <c r="J6" i="7"/>
  <c r="J5" i="7"/>
  <c r="M5" i="6"/>
  <c r="J49" i="6"/>
  <c r="J48" i="6"/>
  <c r="J45" i="6"/>
  <c r="J44" i="6"/>
  <c r="J40" i="6"/>
  <c r="J39" i="6"/>
  <c r="J36" i="6"/>
  <c r="J35" i="6"/>
  <c r="J31" i="6"/>
  <c r="J30" i="6"/>
  <c r="J27" i="6"/>
  <c r="J26" i="6"/>
  <c r="J18" i="6"/>
  <c r="J17" i="6"/>
  <c r="J14" i="6"/>
  <c r="J13" i="6"/>
  <c r="J6" i="6"/>
  <c r="J5" i="6"/>
  <c r="J49" i="5"/>
  <c r="J48" i="5"/>
  <c r="J45" i="5"/>
  <c r="J44" i="5"/>
  <c r="J40" i="5"/>
  <c r="J39" i="5"/>
  <c r="J36" i="5"/>
  <c r="J35" i="5"/>
  <c r="J18" i="5"/>
  <c r="J17" i="5"/>
  <c r="J31" i="5"/>
  <c r="J30" i="5"/>
  <c r="J27" i="5"/>
  <c r="J26" i="5"/>
  <c r="J14" i="5"/>
  <c r="J13" i="5"/>
  <c r="J6" i="5"/>
  <c r="J5" i="5"/>
  <c r="J15" i="8" l="1"/>
  <c r="M13" i="8" s="1"/>
  <c r="J28" i="8"/>
  <c r="J50" i="8"/>
  <c r="J7" i="8"/>
  <c r="J41" i="8"/>
  <c r="J46" i="8"/>
  <c r="J32" i="8"/>
  <c r="J37" i="8"/>
  <c r="M36" i="8" s="1"/>
  <c r="J19" i="8"/>
  <c r="M17" i="8" s="1"/>
  <c r="M5" i="8"/>
  <c r="K13" i="8"/>
  <c r="H1" i="8" s="1"/>
  <c r="J7" i="7"/>
  <c r="M5" i="7" s="1"/>
  <c r="J37" i="7"/>
  <c r="J28" i="7"/>
  <c r="J46" i="7"/>
  <c r="M45" i="7" s="1"/>
  <c r="J50" i="7"/>
  <c r="M49" i="7" s="1"/>
  <c r="J32" i="7"/>
  <c r="J15" i="7"/>
  <c r="M13" i="7" s="1"/>
  <c r="J19" i="7"/>
  <c r="M17" i="7" s="1"/>
  <c r="J41" i="7"/>
  <c r="K13" i="7"/>
  <c r="H1" i="7" s="1"/>
  <c r="J28" i="6"/>
  <c r="J37" i="6"/>
  <c r="M36" i="6" s="1"/>
  <c r="J50" i="6"/>
  <c r="M49" i="6" s="1"/>
  <c r="J32" i="6"/>
  <c r="J41" i="6"/>
  <c r="J15" i="6"/>
  <c r="M13" i="6" s="1"/>
  <c r="J19" i="6"/>
  <c r="M17" i="6" s="1"/>
  <c r="J7" i="6"/>
  <c r="J46" i="6"/>
  <c r="K13" i="6"/>
  <c r="K17" i="6"/>
  <c r="J9" i="5"/>
  <c r="J10" i="5"/>
  <c r="J11" i="5"/>
  <c r="K13" i="5"/>
  <c r="M21" i="5"/>
  <c r="J54" i="5"/>
  <c r="J55" i="5"/>
  <c r="J57" i="5"/>
  <c r="J58" i="5"/>
  <c r="J63" i="5"/>
  <c r="K63" i="5"/>
  <c r="J64" i="5"/>
  <c r="K64" i="5"/>
  <c r="J65" i="5"/>
  <c r="K65" i="5"/>
  <c r="J66" i="5"/>
  <c r="K66" i="5"/>
  <c r="M28" i="8" l="1"/>
  <c r="M35" i="8"/>
  <c r="M39" i="8"/>
  <c r="M48" i="8"/>
  <c r="M49" i="8"/>
  <c r="M27" i="8"/>
  <c r="M44" i="8"/>
  <c r="M45" i="8"/>
  <c r="M40" i="8"/>
  <c r="M28" i="7"/>
  <c r="M27" i="7"/>
  <c r="M39" i="7"/>
  <c r="M35" i="7"/>
  <c r="M36" i="7"/>
  <c r="M48" i="7"/>
  <c r="M44" i="7"/>
  <c r="M40" i="7"/>
  <c r="M39" i="6"/>
  <c r="M48" i="6"/>
  <c r="M35" i="6"/>
  <c r="M44" i="6"/>
  <c r="M28" i="6"/>
  <c r="M40" i="6"/>
  <c r="M27" i="6"/>
  <c r="H1" i="6"/>
  <c r="M45" i="6"/>
  <c r="J28" i="5"/>
  <c r="J46" i="5"/>
  <c r="M45" i="5" s="1"/>
  <c r="J32" i="5"/>
  <c r="L64" i="5"/>
  <c r="L66" i="5"/>
  <c r="J19" i="5"/>
  <c r="M17" i="5" s="1"/>
  <c r="J41" i="5"/>
  <c r="M65" i="5"/>
  <c r="M63" i="5"/>
  <c r="J50" i="5"/>
  <c r="M49" i="5" s="1"/>
  <c r="L65" i="5"/>
  <c r="L63" i="5"/>
  <c r="K17" i="5"/>
  <c r="H1" i="5" s="1"/>
  <c r="M64" i="5"/>
  <c r="J15" i="5"/>
  <c r="M13" i="5" s="1"/>
  <c r="J7" i="5"/>
  <c r="M5" i="5" s="1"/>
  <c r="M66" i="5"/>
  <c r="J37" i="5"/>
  <c r="M35" i="5" l="1"/>
  <c r="M39" i="5"/>
  <c r="M44" i="5"/>
  <c r="M48" i="5"/>
  <c r="M40" i="5"/>
  <c r="M36" i="5"/>
  <c r="M28" i="5"/>
  <c r="M27" i="5"/>
</calcChain>
</file>

<file path=xl/sharedStrings.xml><?xml version="1.0" encoding="utf-8"?>
<sst xmlns="http://schemas.openxmlformats.org/spreadsheetml/2006/main" count="1646" uniqueCount="95">
  <si>
    <t>Shooter</t>
  </si>
  <si>
    <t>2pt/3pt</t>
  </si>
  <si>
    <t>2pt</t>
  </si>
  <si>
    <t>3pt</t>
  </si>
  <si>
    <t>FG</t>
  </si>
  <si>
    <t>Makes</t>
  </si>
  <si>
    <t>shooting %</t>
  </si>
  <si>
    <t>Misses</t>
  </si>
  <si>
    <t>total attempts</t>
  </si>
  <si>
    <t>Misc</t>
  </si>
  <si>
    <t>offensive rebounds</t>
  </si>
  <si>
    <t>turnovers</t>
  </si>
  <si>
    <t>2pt makes</t>
  </si>
  <si>
    <t>2pt %</t>
  </si>
  <si>
    <t>2pt misses</t>
  </si>
  <si>
    <t>2pt attempts</t>
  </si>
  <si>
    <t>3pt makes</t>
  </si>
  <si>
    <t>3pt %</t>
  </si>
  <si>
    <t>3pt misses</t>
  </si>
  <si>
    <t>3pt attempts</t>
  </si>
  <si>
    <t>FT</t>
  </si>
  <si>
    <t>FT made</t>
  </si>
  <si>
    <t>FT %</t>
  </si>
  <si>
    <t>FT missed</t>
  </si>
  <si>
    <t>FT attempts</t>
  </si>
  <si>
    <t>Shooting Splits</t>
  </si>
  <si>
    <t># of layups made</t>
  </si>
  <si>
    <t>Shooting Breakdown</t>
  </si>
  <si>
    <t># of layups missed</t>
  </si>
  <si>
    <t>total layups</t>
  </si>
  <si>
    <t># of jumpers made</t>
  </si>
  <si>
    <t># of jumpers missed</t>
  </si>
  <si>
    <t>total jumpers</t>
  </si>
  <si>
    <t>Layups Breakdown</t>
  </si>
  <si>
    <t># of layups C+S made</t>
  </si>
  <si>
    <t>% of layups C+S</t>
  </si>
  <si>
    <t># of layups C+S missed</t>
  </si>
  <si>
    <t>Shooting % C+S</t>
  </si>
  <si>
    <t>total layups C+S</t>
  </si>
  <si>
    <t># of layups OTD made</t>
  </si>
  <si>
    <t>% of layups OTD</t>
  </si>
  <si>
    <t># of layups OTD missed</t>
  </si>
  <si>
    <t>Shooting % OTD</t>
  </si>
  <si>
    <t>total layups OTD</t>
  </si>
  <si>
    <t>Jumper Breakdown</t>
  </si>
  <si>
    <t># of jumpers C+S made</t>
  </si>
  <si>
    <t>% of jumper C+S</t>
  </si>
  <si>
    <t># of jumper C+S missed</t>
  </si>
  <si>
    <t>total jumper C+S</t>
  </si>
  <si>
    <t># of jumper OTD made</t>
  </si>
  <si>
    <t>% of jumper OTD</t>
  </si>
  <si>
    <t># of jumper OTD missed</t>
  </si>
  <si>
    <t>total jumper OTD</t>
  </si>
  <si>
    <t>avg team dribbles per make</t>
  </si>
  <si>
    <t>avg team dribbles per miss</t>
  </si>
  <si>
    <t>avg ind dribbles per make</t>
  </si>
  <si>
    <t>avg ind dribbles per miss</t>
  </si>
  <si>
    <t>No pass</t>
  </si>
  <si>
    <t>7 - 0</t>
  </si>
  <si>
    <t>14 - 8</t>
  </si>
  <si>
    <t>22 - 15</t>
  </si>
  <si>
    <t>30 - 23</t>
  </si>
  <si>
    <t>Distribution %</t>
  </si>
  <si>
    <t>Shooting %</t>
  </si>
  <si>
    <t>Missed</t>
  </si>
  <si>
    <t>Made</t>
  </si>
  <si>
    <t>Range</t>
  </si>
  <si>
    <t>Shot Clock Breakdown</t>
  </si>
  <si>
    <t>Dribble Breakdown</t>
  </si>
  <si>
    <t>OTD/C+S</t>
  </si>
  <si>
    <t>Jumper/Layup</t>
  </si>
  <si>
    <t>Made/Missed</t>
  </si>
  <si>
    <t>paint touches</t>
  </si>
  <si>
    <t>KD</t>
  </si>
  <si>
    <t>C+S</t>
  </si>
  <si>
    <t>Layup</t>
  </si>
  <si>
    <t>Kamoni</t>
  </si>
  <si>
    <t>OTD</t>
  </si>
  <si>
    <t>Jumper</t>
  </si>
  <si>
    <t>Rider</t>
  </si>
  <si>
    <t>Ra'kai</t>
  </si>
  <si>
    <t>Gabriel</t>
  </si>
  <si>
    <t>Jamari</t>
  </si>
  <si>
    <t>Mihailo</t>
  </si>
  <si>
    <t>Chris</t>
  </si>
  <si>
    <t>Uros</t>
  </si>
  <si>
    <t>Ben</t>
  </si>
  <si>
    <t>Clayton</t>
  </si>
  <si>
    <t>Ayden</t>
  </si>
  <si>
    <t>Alex</t>
  </si>
  <si>
    <t>Andi</t>
  </si>
  <si>
    <t>Jumpers</t>
  </si>
  <si>
    <t>Layups</t>
  </si>
  <si>
    <t>Paint Touches</t>
  </si>
  <si>
    <t>Rakai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</si>
</sst>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0" fontId="1" fillId="0" borderId="4" xfId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6" xfId="1" applyFont="1" applyBorder="1" applyAlignment="1">
      <alignment horizontal="center"/>
    </xf>
    <xf numFmtId="9" fontId="1" fillId="0" borderId="4" xfId="1" applyFont="1" applyBorder="1" applyAlignment="1">
      <alignment horizontal="center"/>
    </xf>
    <xf numFmtId="0" fontId="0" fillId="0" borderId="5" xfId="0" applyBorder="1"/>
    <xf numFmtId="0" fontId="1" fillId="0" borderId="8" xfId="0" quotePrefix="1" applyFont="1" applyBorder="1" applyAlignment="1">
      <alignment horizontal="center"/>
    </xf>
    <xf numFmtId="9" fontId="1" fillId="0" borderId="10" xfId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7" fontId="1" fillId="0" borderId="10" xfId="0" quotePrefix="1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2" fontId="1" fillId="0" borderId="0" xfId="0" applyNumberFormat="1" applyFont="1" applyAlignment="1">
      <alignment horizontal="center"/>
    </xf>
    <xf numFmtId="9" fontId="1" fillId="0" borderId="0" xfId="1" applyFont="1" applyBorder="1" applyAlignment="1">
      <alignment horizontal="center"/>
    </xf>
    <xf numFmtId="17" fontId="1" fillId="0" borderId="0" xfId="0" quotePrefix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A70D-9538-44DD-87D9-FFC90B7F0EDA}">
  <sheetPr>
    <outlinePr summaryBelow="0" summaryRight="0"/>
  </sheetPr>
  <dimension ref="A1:W998"/>
  <sheetViews>
    <sheetView workbookViewId="0">
      <pane ySplit="3" topLeftCell="A12" activePane="bottomLeft" state="frozen"/>
      <selection pane="bottomLeft" activeCell="J50" sqref="J50"/>
    </sheetView>
  </sheetViews>
  <sheetFormatPr defaultColWidth="12.7109375" defaultRowHeight="15.75" customHeight="1" x14ac:dyDescent="0.2"/>
  <cols>
    <col min="2" max="2" width="24.28515625" customWidth="1"/>
    <col min="3" max="3" width="15.28515625" customWidth="1"/>
    <col min="4" max="4" width="8.28515625" customWidth="1"/>
    <col min="7" max="7" width="10.28515625" customWidth="1"/>
    <col min="8" max="8" width="18.7109375" bestFit="1" customWidth="1"/>
    <col min="9" max="9" width="23.28515625" bestFit="1" customWidth="1"/>
    <col min="11" max="11" width="13.85546875" bestFit="1" customWidth="1"/>
    <col min="12" max="12" width="17.28515625" bestFit="1" customWidth="1"/>
  </cols>
  <sheetData>
    <row r="1" spans="1:23" ht="15.75" customHeight="1" x14ac:dyDescent="0.2">
      <c r="B1" s="1"/>
      <c r="C1" s="1"/>
      <c r="D1" s="1"/>
      <c r="E1" s="1"/>
      <c r="F1" s="1"/>
      <c r="G1" s="1"/>
      <c r="H1" s="1">
        <f>K13+K17+K21</f>
        <v>114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t="s">
        <v>72</v>
      </c>
      <c r="B3" s="2" t="s">
        <v>0</v>
      </c>
      <c r="C3" s="2" t="s">
        <v>69</v>
      </c>
      <c r="D3" s="2" t="s">
        <v>1</v>
      </c>
      <c r="E3" s="2" t="s">
        <v>70</v>
      </c>
      <c r="F3" s="2" t="s">
        <v>71</v>
      </c>
      <c r="G3" s="1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>
        <v>1</v>
      </c>
      <c r="B4" s="1" t="s">
        <v>73</v>
      </c>
      <c r="C4" s="1" t="s">
        <v>74</v>
      </c>
      <c r="D4" s="1" t="s">
        <v>2</v>
      </c>
      <c r="E4" s="1" t="s">
        <v>75</v>
      </c>
      <c r="F4" s="1" t="s">
        <v>65</v>
      </c>
      <c r="G4" s="1"/>
      <c r="H4" s="1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>
        <v>1</v>
      </c>
      <c r="B5" s="1" t="s">
        <v>76</v>
      </c>
      <c r="C5" s="1" t="s">
        <v>77</v>
      </c>
      <c r="D5" s="1" t="s">
        <v>2</v>
      </c>
      <c r="E5" s="1" t="s">
        <v>75</v>
      </c>
      <c r="F5" s="1" t="s">
        <v>65</v>
      </c>
      <c r="G5" s="1"/>
      <c r="H5" s="1"/>
      <c r="I5" s="4" t="s">
        <v>5</v>
      </c>
      <c r="J5" s="5">
        <f>COUNTIF(F4:F200,"Made")</f>
        <v>53</v>
      </c>
      <c r="K5" s="5"/>
      <c r="L5" s="5" t="s">
        <v>6</v>
      </c>
      <c r="M5" s="6">
        <f>J5/J7</f>
        <v>0.63855421686746983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>
        <v>0</v>
      </c>
      <c r="B6" s="1" t="s">
        <v>76</v>
      </c>
      <c r="C6" s="1" t="s">
        <v>74</v>
      </c>
      <c r="D6" s="1" t="s">
        <v>3</v>
      </c>
      <c r="E6" s="1" t="s">
        <v>78</v>
      </c>
      <c r="F6" s="1" t="s">
        <v>64</v>
      </c>
      <c r="G6" s="1"/>
      <c r="H6" s="1"/>
      <c r="I6" s="7" t="s">
        <v>7</v>
      </c>
      <c r="J6" s="1">
        <f>COUNTIF(F4:F200,"missed")</f>
        <v>30</v>
      </c>
      <c r="K6" s="1"/>
      <c r="L6" s="1"/>
      <c r="M6" s="8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>
        <v>0</v>
      </c>
      <c r="B7" s="1" t="s">
        <v>79</v>
      </c>
      <c r="C7" s="1" t="s">
        <v>74</v>
      </c>
      <c r="D7" s="1" t="s">
        <v>3</v>
      </c>
      <c r="E7" s="1" t="s">
        <v>78</v>
      </c>
      <c r="F7" s="1" t="s">
        <v>65</v>
      </c>
      <c r="G7" s="1"/>
      <c r="H7" s="1"/>
      <c r="I7" s="9" t="s">
        <v>8</v>
      </c>
      <c r="J7" s="10">
        <f>J5+J6</f>
        <v>83</v>
      </c>
      <c r="K7" s="10"/>
      <c r="L7" s="10"/>
      <c r="M7" s="1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>
        <v>1</v>
      </c>
      <c r="B8" s="1" t="s">
        <v>80</v>
      </c>
      <c r="C8" s="1" t="s">
        <v>77</v>
      </c>
      <c r="D8" s="1" t="s">
        <v>2</v>
      </c>
      <c r="E8" s="1" t="s">
        <v>75</v>
      </c>
      <c r="F8" s="1" t="s">
        <v>65</v>
      </c>
      <c r="G8" s="1"/>
      <c r="H8" s="1" t="s">
        <v>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>
        <v>1</v>
      </c>
      <c r="B9" s="1" t="s">
        <v>79</v>
      </c>
      <c r="C9" s="1" t="s">
        <v>77</v>
      </c>
      <c r="D9" s="1" t="s">
        <v>2</v>
      </c>
      <c r="E9" s="1" t="s">
        <v>75</v>
      </c>
      <c r="F9" s="1" t="s">
        <v>65</v>
      </c>
      <c r="G9" s="1"/>
      <c r="H9" s="1"/>
      <c r="I9" s="4" t="s">
        <v>10</v>
      </c>
      <c r="J9" s="5" t="e">
        <f>COUNTIF(#REF!, "=X")</f>
        <v>#REF!</v>
      </c>
      <c r="K9" s="5"/>
      <c r="L9" s="5"/>
      <c r="M9" s="12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>
        <v>1</v>
      </c>
      <c r="B10" s="1" t="s">
        <v>76</v>
      </c>
      <c r="C10" s="1" t="s">
        <v>77</v>
      </c>
      <c r="D10" s="1" t="s">
        <v>2</v>
      </c>
      <c r="E10" s="1" t="s">
        <v>75</v>
      </c>
      <c r="F10" s="1" t="s">
        <v>64</v>
      </c>
      <c r="G10" s="1"/>
      <c r="H10" s="1"/>
      <c r="I10" s="7" t="s">
        <v>11</v>
      </c>
      <c r="J10" s="1" t="e">
        <f>SUMIF(B4:F200,"turnover",#REF!)</f>
        <v>#REF!</v>
      </c>
      <c r="K10" s="1"/>
      <c r="L10" s="1"/>
      <c r="M10" s="8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>
        <v>1</v>
      </c>
      <c r="B11" s="1" t="s">
        <v>81</v>
      </c>
      <c r="C11" s="1" t="s">
        <v>77</v>
      </c>
      <c r="D11" s="1" t="s">
        <v>2</v>
      </c>
      <c r="E11" s="1" t="s">
        <v>75</v>
      </c>
      <c r="F11" s="1" t="s">
        <v>64</v>
      </c>
      <c r="G11" s="1"/>
      <c r="H11" s="1"/>
      <c r="I11" s="9" t="s">
        <v>57</v>
      </c>
      <c r="J11" s="10" t="e">
        <f>COUNTIF(#REF!, "=X")</f>
        <v>#REF!</v>
      </c>
      <c r="K11" s="16"/>
      <c r="L11" s="10"/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2">
      <c r="A12">
        <v>1</v>
      </c>
      <c r="B12" s="1" t="s">
        <v>81</v>
      </c>
      <c r="C12" s="1" t="s">
        <v>77</v>
      </c>
      <c r="D12" s="1" t="s">
        <v>2</v>
      </c>
      <c r="E12" s="1" t="s">
        <v>75</v>
      </c>
      <c r="F12" s="1" t="s">
        <v>64</v>
      </c>
      <c r="G12" s="1"/>
      <c r="H12" s="1" t="s">
        <v>2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>
        <v>2</v>
      </c>
      <c r="B13" s="1" t="s">
        <v>73</v>
      </c>
      <c r="C13" s="1" t="s">
        <v>74</v>
      </c>
      <c r="D13" s="1" t="s">
        <v>2</v>
      </c>
      <c r="E13" s="1" t="s">
        <v>75</v>
      </c>
      <c r="F13" s="1" t="s">
        <v>65</v>
      </c>
      <c r="G13" s="1"/>
      <c r="H13" s="1"/>
      <c r="I13" s="4" t="s">
        <v>12</v>
      </c>
      <c r="J13" s="5">
        <f>COUNTIFS(D4:D100,"2PT",F4:F100,"Made")</f>
        <v>45</v>
      </c>
      <c r="K13" s="5">
        <f>J13*2</f>
        <v>90</v>
      </c>
      <c r="L13" s="5" t="s">
        <v>13</v>
      </c>
      <c r="M13" s="6">
        <f>J13/J15</f>
        <v>0.703125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>
        <v>0</v>
      </c>
      <c r="B14" s="1" t="s">
        <v>81</v>
      </c>
      <c r="C14" s="1" t="s">
        <v>74</v>
      </c>
      <c r="D14" s="1" t="s">
        <v>3</v>
      </c>
      <c r="E14" s="1" t="s">
        <v>78</v>
      </c>
      <c r="F14" s="1" t="s">
        <v>64</v>
      </c>
      <c r="G14" s="1"/>
      <c r="H14" s="1"/>
      <c r="I14" s="7" t="s">
        <v>14</v>
      </c>
      <c r="J14" s="1">
        <f>COUNTIFS(D4:D100,"2PT",F4:F100,"Missed")</f>
        <v>19</v>
      </c>
      <c r="K14" s="1"/>
      <c r="L14" s="1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>
        <v>0</v>
      </c>
      <c r="B15" s="1" t="s">
        <v>73</v>
      </c>
      <c r="C15" s="1" t="s">
        <v>74</v>
      </c>
      <c r="D15" s="1" t="s">
        <v>2</v>
      </c>
      <c r="E15" s="1" t="s">
        <v>75</v>
      </c>
      <c r="F15" s="1" t="s">
        <v>65</v>
      </c>
      <c r="G15" s="1"/>
      <c r="H15" s="1"/>
      <c r="I15" s="9" t="s">
        <v>15</v>
      </c>
      <c r="J15" s="10">
        <f>J13+J14</f>
        <v>64</v>
      </c>
      <c r="K15" s="10"/>
      <c r="L15" s="1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>
        <v>1</v>
      </c>
      <c r="B16" s="1" t="s">
        <v>82</v>
      </c>
      <c r="C16" s="1" t="s">
        <v>74</v>
      </c>
      <c r="D16" s="1" t="s">
        <v>2</v>
      </c>
      <c r="E16" s="1" t="s">
        <v>75</v>
      </c>
      <c r="F16" s="1" t="s">
        <v>65</v>
      </c>
      <c r="G16" s="1"/>
      <c r="H16" s="1" t="s">
        <v>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>
        <v>1</v>
      </c>
      <c r="B17" s="1" t="s">
        <v>83</v>
      </c>
      <c r="C17" s="1" t="s">
        <v>77</v>
      </c>
      <c r="D17" s="1" t="s">
        <v>2</v>
      </c>
      <c r="E17" s="1" t="s">
        <v>75</v>
      </c>
      <c r="F17" s="1" t="s">
        <v>64</v>
      </c>
      <c r="G17" s="1"/>
      <c r="H17" s="1"/>
      <c r="I17" s="4" t="s">
        <v>16</v>
      </c>
      <c r="J17" s="5">
        <f>COUNTIFS(D4:D86,"3PT",F4:F86,"MADE")</f>
        <v>8</v>
      </c>
      <c r="K17" s="5">
        <f>J17*3</f>
        <v>24</v>
      </c>
      <c r="L17" s="5" t="s">
        <v>17</v>
      </c>
      <c r="M17" s="6">
        <f>J17/J19</f>
        <v>0.42105263157894735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>
        <v>0</v>
      </c>
      <c r="B18" s="1" t="s">
        <v>73</v>
      </c>
      <c r="C18" s="1" t="s">
        <v>74</v>
      </c>
      <c r="D18" s="1" t="s">
        <v>3</v>
      </c>
      <c r="E18" s="1" t="s">
        <v>78</v>
      </c>
      <c r="F18" s="1" t="s">
        <v>64</v>
      </c>
      <c r="G18" s="1"/>
      <c r="H18" s="1"/>
      <c r="I18" s="7" t="s">
        <v>18</v>
      </c>
      <c r="J18" s="1">
        <f>COUNTIFS(D4:D86,"3PT",F4:F86,"MISSED")</f>
        <v>11</v>
      </c>
      <c r="K18" s="1"/>
      <c r="L18" s="1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>
        <v>1</v>
      </c>
      <c r="B19" s="1" t="s">
        <v>73</v>
      </c>
      <c r="C19" s="1" t="s">
        <v>74</v>
      </c>
      <c r="D19" s="1" t="s">
        <v>2</v>
      </c>
      <c r="E19" s="1" t="s">
        <v>75</v>
      </c>
      <c r="F19" s="1" t="s">
        <v>65</v>
      </c>
      <c r="G19" s="1"/>
      <c r="H19" s="1"/>
      <c r="I19" s="9" t="s">
        <v>19</v>
      </c>
      <c r="J19" s="10">
        <f>J17+J18</f>
        <v>19</v>
      </c>
      <c r="K19" s="10"/>
      <c r="L19" s="1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>
        <v>0</v>
      </c>
      <c r="B20" s="1" t="s">
        <v>82</v>
      </c>
      <c r="C20" s="1" t="s">
        <v>77</v>
      </c>
      <c r="D20" s="1" t="s">
        <v>2</v>
      </c>
      <c r="E20" s="1" t="s">
        <v>75</v>
      </c>
      <c r="F20" s="1" t="s">
        <v>64</v>
      </c>
      <c r="G20" s="1"/>
      <c r="H20" s="1" t="s">
        <v>20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>
        <v>1</v>
      </c>
      <c r="B21" s="1" t="s">
        <v>84</v>
      </c>
      <c r="C21" s="1" t="s">
        <v>77</v>
      </c>
      <c r="D21" s="1" t="s">
        <v>2</v>
      </c>
      <c r="E21" s="1" t="s">
        <v>75</v>
      </c>
      <c r="F21" s="1" t="s">
        <v>64</v>
      </c>
      <c r="G21" s="1"/>
      <c r="H21" s="1"/>
      <c r="I21" s="4" t="s">
        <v>21</v>
      </c>
      <c r="J21" s="5"/>
      <c r="K21" s="5"/>
      <c r="L21" s="5" t="s">
        <v>22</v>
      </c>
      <c r="M21" s="6" t="e">
        <f>J21/J23</f>
        <v>#DIV/0!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>
        <v>0</v>
      </c>
      <c r="B22" s="1" t="s">
        <v>84</v>
      </c>
      <c r="C22" s="1" t="s">
        <v>77</v>
      </c>
      <c r="D22" s="1" t="s">
        <v>2</v>
      </c>
      <c r="E22" s="1" t="s">
        <v>75</v>
      </c>
      <c r="F22" s="1" t="s">
        <v>65</v>
      </c>
      <c r="G22" s="1"/>
      <c r="H22" s="1"/>
      <c r="I22" s="7" t="s">
        <v>23</v>
      </c>
      <c r="J22" s="1"/>
      <c r="K22" s="1"/>
      <c r="L22" s="1"/>
      <c r="M22" s="8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>
        <v>1</v>
      </c>
      <c r="B23" s="1" t="s">
        <v>83</v>
      </c>
      <c r="C23" s="1" t="s">
        <v>74</v>
      </c>
      <c r="D23" s="1" t="s">
        <v>2</v>
      </c>
      <c r="E23" s="1" t="s">
        <v>75</v>
      </c>
      <c r="F23" s="1" t="s">
        <v>65</v>
      </c>
      <c r="G23" s="1"/>
      <c r="H23" s="1"/>
      <c r="I23" s="9" t="s">
        <v>24</v>
      </c>
      <c r="J23" s="10"/>
      <c r="K23" s="10"/>
      <c r="L23" s="1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>
        <v>0</v>
      </c>
      <c r="B24" s="1" t="s">
        <v>82</v>
      </c>
      <c r="C24" s="1" t="s">
        <v>77</v>
      </c>
      <c r="D24" s="1" t="s">
        <v>2</v>
      </c>
      <c r="E24" s="1" t="s">
        <v>75</v>
      </c>
      <c r="F24" s="1" t="s">
        <v>64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>
        <v>1</v>
      </c>
      <c r="B25" s="1" t="s">
        <v>83</v>
      </c>
      <c r="C25" s="1" t="s">
        <v>77</v>
      </c>
      <c r="D25" s="1" t="s">
        <v>2</v>
      </c>
      <c r="E25" s="1" t="s">
        <v>75</v>
      </c>
      <c r="F25" s="1" t="s">
        <v>65</v>
      </c>
      <c r="G25" s="1"/>
      <c r="H25" s="1" t="s">
        <v>25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>
        <v>1</v>
      </c>
      <c r="B26" s="1" t="s">
        <v>82</v>
      </c>
      <c r="C26" s="1" t="s">
        <v>74</v>
      </c>
      <c r="D26" s="1" t="s">
        <v>2</v>
      </c>
      <c r="E26" s="1" t="s">
        <v>75</v>
      </c>
      <c r="F26" s="1" t="s">
        <v>65</v>
      </c>
      <c r="G26" s="1"/>
      <c r="H26" s="1"/>
      <c r="I26" s="4" t="s">
        <v>26</v>
      </c>
      <c r="J26" s="5">
        <f>COUNTIFS(E4:E86,"LAYUP",F4:F86,"MADE")</f>
        <v>45</v>
      </c>
      <c r="K26" s="5"/>
      <c r="L26" s="5" t="s">
        <v>27</v>
      </c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>
        <v>0</v>
      </c>
      <c r="B27" s="1" t="s">
        <v>84</v>
      </c>
      <c r="C27" s="1" t="s">
        <v>77</v>
      </c>
      <c r="D27" s="1" t="s">
        <v>2</v>
      </c>
      <c r="E27" s="1" t="s">
        <v>75</v>
      </c>
      <c r="F27" s="1" t="s">
        <v>64</v>
      </c>
      <c r="G27" s="1"/>
      <c r="H27" s="1"/>
      <c r="I27" s="7" t="s">
        <v>28</v>
      </c>
      <c r="J27" s="1">
        <f>COUNTIFS(E4:E86,"LAYUP",F4:F86,"MISSED")</f>
        <v>18</v>
      </c>
      <c r="K27" s="1"/>
      <c r="L27" s="1" t="s">
        <v>92</v>
      </c>
      <c r="M27" s="13">
        <f>J28/J7</f>
        <v>0.75903614457831325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>
        <v>0</v>
      </c>
      <c r="B28" s="1" t="s">
        <v>85</v>
      </c>
      <c r="C28" s="1" t="s">
        <v>74</v>
      </c>
      <c r="D28" s="1" t="s">
        <v>2</v>
      </c>
      <c r="E28" s="1" t="s">
        <v>75</v>
      </c>
      <c r="F28" s="1" t="s">
        <v>65</v>
      </c>
      <c r="G28" s="1"/>
      <c r="H28" s="1"/>
      <c r="I28" s="7" t="s">
        <v>29</v>
      </c>
      <c r="J28" s="1">
        <f>J26+J27</f>
        <v>63</v>
      </c>
      <c r="K28" s="1"/>
      <c r="L28" s="1" t="s">
        <v>91</v>
      </c>
      <c r="M28" s="13">
        <f>J32/J7</f>
        <v>0.24096385542168675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>
        <v>0</v>
      </c>
      <c r="B29" s="1" t="s">
        <v>85</v>
      </c>
      <c r="C29" s="1" t="s">
        <v>77</v>
      </c>
      <c r="D29" s="1" t="s">
        <v>2</v>
      </c>
      <c r="E29" s="1" t="s">
        <v>78</v>
      </c>
      <c r="F29" s="1" t="s">
        <v>64</v>
      </c>
      <c r="G29" s="1"/>
      <c r="H29" s="1"/>
      <c r="I29" s="7"/>
      <c r="J29" s="1"/>
      <c r="K29" s="1"/>
      <c r="L29" s="1"/>
      <c r="M29" s="8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>
        <v>0</v>
      </c>
      <c r="B30" s="1" t="s">
        <v>79</v>
      </c>
      <c r="C30" s="1" t="s">
        <v>74</v>
      </c>
      <c r="D30" s="1" t="s">
        <v>3</v>
      </c>
      <c r="E30" s="1" t="s">
        <v>78</v>
      </c>
      <c r="F30" s="1" t="s">
        <v>65</v>
      </c>
      <c r="G30" s="1"/>
      <c r="H30" s="1"/>
      <c r="I30" s="7" t="s">
        <v>30</v>
      </c>
      <c r="J30" s="1">
        <f>COUNTIFS(E4:E86,"JUMPER",F4:F86,"MADE")</f>
        <v>8</v>
      </c>
      <c r="K30" s="1"/>
      <c r="L30" s="1"/>
      <c r="M30" s="8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>
        <v>1</v>
      </c>
      <c r="B31" s="1" t="s">
        <v>86</v>
      </c>
      <c r="C31" s="1" t="s">
        <v>74</v>
      </c>
      <c r="D31" s="1" t="s">
        <v>2</v>
      </c>
      <c r="E31" s="1" t="s">
        <v>75</v>
      </c>
      <c r="F31" s="1" t="s">
        <v>64</v>
      </c>
      <c r="G31" s="1"/>
      <c r="H31" s="1"/>
      <c r="I31" s="7" t="s">
        <v>31</v>
      </c>
      <c r="J31" s="1">
        <f>COUNTIFS(E4:E86,"JUMPER",F4:F86,"MISSED")</f>
        <v>12</v>
      </c>
      <c r="K31" s="1"/>
      <c r="L31" s="1"/>
      <c r="M31" s="8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>
        <v>1</v>
      </c>
      <c r="B32" s="1" t="s">
        <v>79</v>
      </c>
      <c r="C32" s="1" t="s">
        <v>74</v>
      </c>
      <c r="D32" s="1" t="s">
        <v>2</v>
      </c>
      <c r="E32" s="1" t="s">
        <v>75</v>
      </c>
      <c r="F32" s="1" t="s">
        <v>65</v>
      </c>
      <c r="G32" s="1"/>
      <c r="H32" s="1"/>
      <c r="I32" s="9" t="s">
        <v>32</v>
      </c>
      <c r="J32" s="10">
        <f>J30+J31</f>
        <v>20</v>
      </c>
      <c r="K32" s="10"/>
      <c r="L32" s="10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>
        <v>1</v>
      </c>
      <c r="B33" s="1" t="s">
        <v>86</v>
      </c>
      <c r="C33" s="1" t="s">
        <v>74</v>
      </c>
      <c r="D33" s="1" t="s">
        <v>2</v>
      </c>
      <c r="E33" s="1" t="s">
        <v>75</v>
      </c>
      <c r="F33" s="1" t="s">
        <v>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>
        <v>1</v>
      </c>
      <c r="B34" s="1" t="s">
        <v>87</v>
      </c>
      <c r="C34" s="1" t="s">
        <v>74</v>
      </c>
      <c r="D34" s="1" t="s">
        <v>2</v>
      </c>
      <c r="E34" s="1" t="s">
        <v>75</v>
      </c>
      <c r="F34" s="1" t="s">
        <v>65</v>
      </c>
      <c r="G34" s="1"/>
      <c r="H34" s="1" t="s">
        <v>33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>
        <v>1</v>
      </c>
      <c r="B35" s="1" t="s">
        <v>79</v>
      </c>
      <c r="C35" s="1" t="s">
        <v>74</v>
      </c>
      <c r="D35" s="1" t="s">
        <v>2</v>
      </c>
      <c r="E35" s="1" t="s">
        <v>75</v>
      </c>
      <c r="F35" s="1" t="s">
        <v>64</v>
      </c>
      <c r="G35" s="1"/>
      <c r="H35" s="1"/>
      <c r="I35" s="4" t="s">
        <v>34</v>
      </c>
      <c r="J35" s="5">
        <f>COUNTIFS(C4:C86,"C+S",E4:E86,"LAYUP",F4:F86,"MADE")</f>
        <v>29</v>
      </c>
      <c r="K35" s="5"/>
      <c r="L35" s="5" t="s">
        <v>35</v>
      </c>
      <c r="M35" s="14">
        <f>J37/J28</f>
        <v>0.55555555555555558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>
        <v>1</v>
      </c>
      <c r="B36" s="1" t="s">
        <v>87</v>
      </c>
      <c r="C36" s="1" t="s">
        <v>74</v>
      </c>
      <c r="D36" s="1" t="s">
        <v>2</v>
      </c>
      <c r="E36" s="1" t="s">
        <v>75</v>
      </c>
      <c r="F36" s="1" t="s">
        <v>65</v>
      </c>
      <c r="G36" s="1"/>
      <c r="H36" s="1"/>
      <c r="I36" s="7" t="s">
        <v>36</v>
      </c>
      <c r="J36" s="1">
        <f>COUNTIFS(C4:C86,"C+S",E4:E86,"LAYUP",F4:F86,"MISSED")</f>
        <v>6</v>
      </c>
      <c r="K36" s="1"/>
      <c r="L36" s="1" t="s">
        <v>37</v>
      </c>
      <c r="M36" s="13">
        <f>J35/J37</f>
        <v>0.82857142857142863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 x14ac:dyDescent="0.2">
      <c r="A37">
        <v>1</v>
      </c>
      <c r="B37" s="1" t="s">
        <v>86</v>
      </c>
      <c r="C37" s="1" t="s">
        <v>74</v>
      </c>
      <c r="D37" s="1" t="s">
        <v>2</v>
      </c>
      <c r="E37" s="1" t="s">
        <v>75</v>
      </c>
      <c r="F37" s="1" t="s">
        <v>64</v>
      </c>
      <c r="G37" s="1"/>
      <c r="H37" s="1"/>
      <c r="I37" s="7" t="s">
        <v>38</v>
      </c>
      <c r="J37" s="1">
        <f>J35+J36</f>
        <v>35</v>
      </c>
      <c r="K37" s="1"/>
      <c r="L37" s="1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 x14ac:dyDescent="0.2">
      <c r="A38">
        <v>1</v>
      </c>
      <c r="B38" s="1" t="s">
        <v>79</v>
      </c>
      <c r="C38" s="1" t="s">
        <v>74</v>
      </c>
      <c r="D38" s="1" t="s">
        <v>2</v>
      </c>
      <c r="E38" s="1" t="s">
        <v>75</v>
      </c>
      <c r="F38" s="1" t="s">
        <v>65</v>
      </c>
      <c r="G38" s="1"/>
      <c r="H38" s="1"/>
      <c r="I38" s="15"/>
      <c r="J38" s="1"/>
      <c r="K38" s="1"/>
      <c r="L38" s="1"/>
      <c r="M38" s="8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 x14ac:dyDescent="0.2">
      <c r="A39">
        <v>1</v>
      </c>
      <c r="B39" s="1" t="s">
        <v>73</v>
      </c>
      <c r="C39" s="1" t="s">
        <v>74</v>
      </c>
      <c r="D39" s="1" t="s">
        <v>2</v>
      </c>
      <c r="E39" s="1" t="s">
        <v>75</v>
      </c>
      <c r="F39" s="1" t="s">
        <v>65</v>
      </c>
      <c r="G39" s="1"/>
      <c r="H39" s="1"/>
      <c r="I39" s="7" t="s">
        <v>39</v>
      </c>
      <c r="J39" s="1">
        <f>COUNTIFS(C4:C86,"OTD",E4:E86,"LAYUP",F4:F86,"MADE")</f>
        <v>16</v>
      </c>
      <c r="K39" s="1"/>
      <c r="L39" s="1" t="s">
        <v>40</v>
      </c>
      <c r="M39" s="13">
        <f>J41/J28</f>
        <v>0.44444444444444442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 x14ac:dyDescent="0.2">
      <c r="A40">
        <v>0</v>
      </c>
      <c r="B40" s="1" t="s">
        <v>73</v>
      </c>
      <c r="C40" s="1" t="s">
        <v>74</v>
      </c>
      <c r="D40" s="1" t="s">
        <v>2</v>
      </c>
      <c r="E40" s="1" t="s">
        <v>75</v>
      </c>
      <c r="F40" s="1" t="s">
        <v>65</v>
      </c>
      <c r="G40" s="1"/>
      <c r="H40" s="1"/>
      <c r="I40" s="7" t="s">
        <v>41</v>
      </c>
      <c r="J40" s="1">
        <f>COUNTIFS(C4:C86,"OTD",E4:E86,"LAYUP",F4:F86,"MISSED")</f>
        <v>12</v>
      </c>
      <c r="K40" s="1"/>
      <c r="L40" s="1" t="s">
        <v>42</v>
      </c>
      <c r="M40" s="13">
        <f>J39/J41</f>
        <v>0.5714285714285714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 x14ac:dyDescent="0.2">
      <c r="A41">
        <v>1</v>
      </c>
      <c r="B41" s="1" t="s">
        <v>73</v>
      </c>
      <c r="C41" s="1" t="s">
        <v>77</v>
      </c>
      <c r="D41" s="1" t="s">
        <v>2</v>
      </c>
      <c r="E41" s="1" t="s">
        <v>75</v>
      </c>
      <c r="F41" s="1" t="s">
        <v>65</v>
      </c>
      <c r="G41" s="1"/>
      <c r="H41" s="1"/>
      <c r="I41" s="9" t="s">
        <v>43</v>
      </c>
      <c r="J41" s="10">
        <f>J39+J40</f>
        <v>28</v>
      </c>
      <c r="K41" s="10"/>
      <c r="L41" s="10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 x14ac:dyDescent="0.2">
      <c r="A42">
        <v>1</v>
      </c>
      <c r="B42" s="1" t="s">
        <v>86</v>
      </c>
      <c r="C42" s="1" t="s">
        <v>74</v>
      </c>
      <c r="D42" s="1" t="s">
        <v>2</v>
      </c>
      <c r="E42" s="1" t="s">
        <v>75</v>
      </c>
      <c r="F42" s="1" t="s">
        <v>65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 x14ac:dyDescent="0.2">
      <c r="A43">
        <v>0</v>
      </c>
      <c r="B43" s="1" t="s">
        <v>83</v>
      </c>
      <c r="C43" s="1" t="s">
        <v>74</v>
      </c>
      <c r="D43" s="1" t="s">
        <v>3</v>
      </c>
      <c r="E43" s="1" t="s">
        <v>78</v>
      </c>
      <c r="F43" s="1" t="s">
        <v>65</v>
      </c>
      <c r="G43" s="1"/>
      <c r="H43" s="1" t="s">
        <v>44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 x14ac:dyDescent="0.2">
      <c r="A44">
        <v>0</v>
      </c>
      <c r="B44" s="1" t="s">
        <v>83</v>
      </c>
      <c r="C44" s="1" t="s">
        <v>74</v>
      </c>
      <c r="D44" s="1" t="s">
        <v>2</v>
      </c>
      <c r="E44" s="1" t="s">
        <v>75</v>
      </c>
      <c r="F44" s="1" t="s">
        <v>65</v>
      </c>
      <c r="G44" s="1"/>
      <c r="H44" s="1"/>
      <c r="I44" s="4" t="s">
        <v>45</v>
      </c>
      <c r="J44" s="5">
        <f>COUNTIFS(C4:C86,"C+S",E4:E86,"JUMPER",F4:F86,"MADE")</f>
        <v>8</v>
      </c>
      <c r="K44" s="5"/>
      <c r="L44" s="5" t="s">
        <v>46</v>
      </c>
      <c r="M44" s="14">
        <f>J46/J32</f>
        <v>0.9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 x14ac:dyDescent="0.2">
      <c r="A45">
        <v>0</v>
      </c>
      <c r="B45" s="1" t="s">
        <v>87</v>
      </c>
      <c r="C45" s="1" t="s">
        <v>74</v>
      </c>
      <c r="D45" s="1" t="s">
        <v>2</v>
      </c>
      <c r="E45" s="1" t="s">
        <v>75</v>
      </c>
      <c r="F45" s="1" t="s">
        <v>65</v>
      </c>
      <c r="G45" s="1"/>
      <c r="H45" s="1"/>
      <c r="I45" s="7" t="s">
        <v>47</v>
      </c>
      <c r="J45" s="1">
        <f>COUNTIFS(C4:C86,"C+S",E4:E86,"JUMPER",F4:F86,"MISSED")</f>
        <v>10</v>
      </c>
      <c r="K45" s="1"/>
      <c r="L45" s="1" t="s">
        <v>37</v>
      </c>
      <c r="M45" s="13">
        <f>J44/J46</f>
        <v>0.44444444444444442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 x14ac:dyDescent="0.2">
      <c r="A46">
        <v>0</v>
      </c>
      <c r="B46" s="1" t="s">
        <v>76</v>
      </c>
      <c r="C46" s="1" t="s">
        <v>74</v>
      </c>
      <c r="D46" s="1" t="s">
        <v>3</v>
      </c>
      <c r="E46" s="1" t="s">
        <v>78</v>
      </c>
      <c r="F46" s="1" t="s">
        <v>64</v>
      </c>
      <c r="G46" s="1"/>
      <c r="H46" s="1"/>
      <c r="I46" s="7" t="s">
        <v>48</v>
      </c>
      <c r="J46" s="1">
        <f>J44+J45</f>
        <v>18</v>
      </c>
      <c r="K46" s="1"/>
      <c r="L46" s="1"/>
      <c r="M46" s="8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 x14ac:dyDescent="0.2">
      <c r="A47">
        <v>0</v>
      </c>
      <c r="B47" s="1" t="s">
        <v>84</v>
      </c>
      <c r="C47" s="1" t="s">
        <v>74</v>
      </c>
      <c r="D47" s="1" t="s">
        <v>3</v>
      </c>
      <c r="E47" s="1" t="s">
        <v>78</v>
      </c>
      <c r="F47" s="1" t="s">
        <v>65</v>
      </c>
      <c r="G47" s="1"/>
      <c r="H47" s="1"/>
      <c r="I47" s="15"/>
      <c r="J47" s="1"/>
      <c r="K47" s="1"/>
      <c r="L47" s="1"/>
      <c r="M47" s="8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 x14ac:dyDescent="0.2">
      <c r="A48">
        <v>0</v>
      </c>
      <c r="B48" s="1" t="s">
        <v>82</v>
      </c>
      <c r="C48" s="1" t="s">
        <v>74</v>
      </c>
      <c r="D48" s="1" t="s">
        <v>2</v>
      </c>
      <c r="E48" s="1" t="s">
        <v>75</v>
      </c>
      <c r="F48" s="1" t="s">
        <v>65</v>
      </c>
      <c r="G48" s="1"/>
      <c r="H48" s="1"/>
      <c r="I48" s="7" t="s">
        <v>49</v>
      </c>
      <c r="J48" s="1">
        <f>COUNTIFS(C4:C86,"OTD",E4:E86,"JUMPER",F4:F86,"MADE")</f>
        <v>0</v>
      </c>
      <c r="K48" s="1"/>
      <c r="L48" s="1" t="s">
        <v>50</v>
      </c>
      <c r="M48" s="13">
        <f>J50/J32</f>
        <v>0.1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 x14ac:dyDescent="0.2">
      <c r="A49">
        <v>0</v>
      </c>
      <c r="B49" s="1" t="s">
        <v>88</v>
      </c>
      <c r="C49" s="1" t="s">
        <v>74</v>
      </c>
      <c r="D49" s="1" t="s">
        <v>3</v>
      </c>
      <c r="E49" s="1" t="s">
        <v>78</v>
      </c>
      <c r="F49" s="1" t="s">
        <v>64</v>
      </c>
      <c r="G49" s="1"/>
      <c r="H49" s="1"/>
      <c r="I49" s="7" t="s">
        <v>51</v>
      </c>
      <c r="J49" s="1">
        <f>COUNTIFS(C4:C86,"OTD",E4:E86,"JUMPER",F4:F86,"MISSED")</f>
        <v>2</v>
      </c>
      <c r="K49" s="1"/>
      <c r="L49" s="1" t="s">
        <v>42</v>
      </c>
      <c r="M49" s="13">
        <f>J48/J50</f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 x14ac:dyDescent="0.2">
      <c r="A50">
        <v>1</v>
      </c>
      <c r="B50" s="1" t="s">
        <v>82</v>
      </c>
      <c r="C50" s="1" t="s">
        <v>77</v>
      </c>
      <c r="D50" s="1" t="s">
        <v>2</v>
      </c>
      <c r="E50" s="1" t="s">
        <v>75</v>
      </c>
      <c r="F50" s="1" t="s">
        <v>65</v>
      </c>
      <c r="G50" s="1"/>
      <c r="H50" s="1"/>
      <c r="I50" s="9" t="s">
        <v>52</v>
      </c>
      <c r="J50" s="10">
        <f>J48+J49</f>
        <v>2</v>
      </c>
      <c r="K50" s="10"/>
      <c r="L50" s="10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 x14ac:dyDescent="0.2">
      <c r="A51">
        <v>0</v>
      </c>
      <c r="B51" s="1" t="s">
        <v>82</v>
      </c>
      <c r="C51" s="1" t="s">
        <v>77</v>
      </c>
      <c r="D51" s="1" t="s">
        <v>3</v>
      </c>
      <c r="E51" s="1" t="s">
        <v>78</v>
      </c>
      <c r="F51" s="1" t="s">
        <v>64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 x14ac:dyDescent="0.2">
      <c r="A52">
        <v>1</v>
      </c>
      <c r="B52" s="1" t="s">
        <v>79</v>
      </c>
      <c r="C52" s="1" t="s">
        <v>74</v>
      </c>
      <c r="D52" s="1" t="s">
        <v>2</v>
      </c>
      <c r="E52" s="1" t="s">
        <v>75</v>
      </c>
      <c r="F52" s="1" t="s">
        <v>65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 x14ac:dyDescent="0.2">
      <c r="A53">
        <v>1</v>
      </c>
      <c r="B53" s="1" t="s">
        <v>81</v>
      </c>
      <c r="C53" s="1" t="s">
        <v>77</v>
      </c>
      <c r="D53" s="1" t="s">
        <v>2</v>
      </c>
      <c r="E53" s="1" t="s">
        <v>75</v>
      </c>
      <c r="F53" s="1" t="s">
        <v>65</v>
      </c>
      <c r="G53" s="1"/>
      <c r="H53" s="1" t="s">
        <v>68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 x14ac:dyDescent="0.2">
      <c r="A54">
        <v>1</v>
      </c>
      <c r="B54" s="1" t="s">
        <v>80</v>
      </c>
      <c r="C54" s="1" t="s">
        <v>77</v>
      </c>
      <c r="D54" s="1" t="s">
        <v>2</v>
      </c>
      <c r="E54" s="1" t="s">
        <v>75</v>
      </c>
      <c r="F54" s="1" t="s">
        <v>65</v>
      </c>
      <c r="G54" s="1"/>
      <c r="I54" s="4" t="s">
        <v>53</v>
      </c>
      <c r="J54" s="22" t="e">
        <f>AVERAGEIF(F4:F71,"made",#REF!)</f>
        <v>#REF!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 x14ac:dyDescent="0.2">
      <c r="A55">
        <v>1</v>
      </c>
      <c r="B55" s="1" t="s">
        <v>79</v>
      </c>
      <c r="C55" s="1" t="s">
        <v>74</v>
      </c>
      <c r="D55" s="1" t="s">
        <v>3</v>
      </c>
      <c r="E55" s="1" t="s">
        <v>78</v>
      </c>
      <c r="F55" s="1" t="s">
        <v>65</v>
      </c>
      <c r="G55" s="1"/>
      <c r="I55" s="7" t="s">
        <v>54</v>
      </c>
      <c r="J55" s="21" t="e">
        <f>AVERAGEIF(F4:F71,"missed",#REF!)</f>
        <v>#REF!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 x14ac:dyDescent="0.2">
      <c r="A56">
        <v>1</v>
      </c>
      <c r="B56" s="1" t="s">
        <v>87</v>
      </c>
      <c r="C56" s="1" t="s">
        <v>74</v>
      </c>
      <c r="D56" s="1" t="s">
        <v>2</v>
      </c>
      <c r="E56" s="1" t="s">
        <v>75</v>
      </c>
      <c r="F56" s="1" t="s">
        <v>65</v>
      </c>
      <c r="G56" s="1"/>
      <c r="I56" s="7"/>
      <c r="J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 x14ac:dyDescent="0.2">
      <c r="A57">
        <v>1</v>
      </c>
      <c r="B57" s="1" t="s">
        <v>73</v>
      </c>
      <c r="C57" s="1" t="s">
        <v>74</v>
      </c>
      <c r="D57" s="1" t="s">
        <v>2</v>
      </c>
      <c r="E57" s="1" t="s">
        <v>75</v>
      </c>
      <c r="F57" s="1" t="s">
        <v>65</v>
      </c>
      <c r="G57" s="1"/>
      <c r="I57" s="7" t="s">
        <v>55</v>
      </c>
      <c r="J57" s="21" t="e">
        <f>AVERAGEIF(F4:F74,"made",C4:C74)</f>
        <v>#DIV/0!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 x14ac:dyDescent="0.2">
      <c r="A58">
        <v>0</v>
      </c>
      <c r="B58" s="1" t="s">
        <v>84</v>
      </c>
      <c r="C58" s="1" t="s">
        <v>74</v>
      </c>
      <c r="D58" s="1" t="s">
        <v>3</v>
      </c>
      <c r="E58" s="1" t="s">
        <v>78</v>
      </c>
      <c r="F58" s="1" t="s">
        <v>64</v>
      </c>
      <c r="G58" s="1"/>
      <c r="I58" s="9" t="s">
        <v>56</v>
      </c>
      <c r="J58" s="20" t="e">
        <f>AVERAGEIF(F4:F75,"missed",C4:C75)</f>
        <v>#DIV/0!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 x14ac:dyDescent="0.2">
      <c r="A59">
        <v>0</v>
      </c>
      <c r="B59" s="1" t="s">
        <v>87</v>
      </c>
      <c r="C59" s="1" t="s">
        <v>74</v>
      </c>
      <c r="D59" s="1" t="s">
        <v>2</v>
      </c>
      <c r="E59" s="1" t="s">
        <v>75</v>
      </c>
      <c r="F59" s="1" t="s">
        <v>64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 x14ac:dyDescent="0.2">
      <c r="A60">
        <v>1</v>
      </c>
      <c r="B60" s="1" t="s">
        <v>84</v>
      </c>
      <c r="C60" s="1" t="s">
        <v>77</v>
      </c>
      <c r="D60" s="1" t="s">
        <v>2</v>
      </c>
      <c r="E60" s="1" t="s">
        <v>75</v>
      </c>
      <c r="F60" s="1" t="s">
        <v>65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 x14ac:dyDescent="0.2">
      <c r="A61">
        <v>1</v>
      </c>
      <c r="B61" s="1" t="s">
        <v>82</v>
      </c>
      <c r="C61" s="1" t="s">
        <v>77</v>
      </c>
      <c r="D61" s="1" t="s">
        <v>2</v>
      </c>
      <c r="E61" s="1" t="s">
        <v>75</v>
      </c>
      <c r="F61" s="1" t="s">
        <v>64</v>
      </c>
      <c r="G61" s="1"/>
      <c r="H61" s="1" t="s">
        <v>67</v>
      </c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 x14ac:dyDescent="0.2">
      <c r="A62">
        <v>0</v>
      </c>
      <c r="B62" s="1" t="s">
        <v>85</v>
      </c>
      <c r="C62" s="1" t="s">
        <v>74</v>
      </c>
      <c r="D62" s="1" t="s">
        <v>3</v>
      </c>
      <c r="E62" s="1" t="s">
        <v>78</v>
      </c>
      <c r="F62" s="1" t="s">
        <v>65</v>
      </c>
      <c r="G62" s="1"/>
      <c r="I62" s="18" t="s">
        <v>66</v>
      </c>
      <c r="J62" s="18" t="s">
        <v>65</v>
      </c>
      <c r="K62" s="18" t="s">
        <v>64</v>
      </c>
      <c r="L62" s="18" t="s">
        <v>63</v>
      </c>
      <c r="M62" s="18" t="s">
        <v>62</v>
      </c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 x14ac:dyDescent="0.2">
      <c r="A63">
        <v>1</v>
      </c>
      <c r="B63" s="1" t="s">
        <v>83</v>
      </c>
      <c r="C63" s="1" t="s">
        <v>77</v>
      </c>
      <c r="D63" s="1" t="s">
        <v>2</v>
      </c>
      <c r="E63" s="1" t="s">
        <v>75</v>
      </c>
      <c r="F63" s="1" t="s">
        <v>65</v>
      </c>
      <c r="G63" s="1"/>
      <c r="I63" s="18" t="s">
        <v>61</v>
      </c>
      <c r="J63" s="18" t="e">
        <f>SUMIFS(#REF!,#REF!,"&gt;22",F4:F200,"made")</f>
        <v>#REF!</v>
      </c>
      <c r="K63" s="18" t="e">
        <f>SUMIFS(#REF!,#REF!,"&gt;22",F4:F200,"missed")</f>
        <v>#REF!</v>
      </c>
      <c r="L63" s="17" t="e">
        <f>J63/(J63+K63)</f>
        <v>#REF!</v>
      </c>
      <c r="M63" s="17" t="e">
        <f>(J63+K63)/SUM($J$63:$K$66)</f>
        <v>#REF!</v>
      </c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 x14ac:dyDescent="0.2">
      <c r="A64">
        <v>0</v>
      </c>
      <c r="B64" s="1" t="s">
        <v>85</v>
      </c>
      <c r="C64" s="1" t="s">
        <v>74</v>
      </c>
      <c r="D64" s="1" t="s">
        <v>3</v>
      </c>
      <c r="E64" s="1" t="s">
        <v>78</v>
      </c>
      <c r="F64" s="1" t="s">
        <v>64</v>
      </c>
      <c r="G64" s="1"/>
      <c r="I64" s="18" t="s">
        <v>60</v>
      </c>
      <c r="J64" s="18" t="e">
        <f>SUMIFS(#REF!,#REF!,"&lt;23",#REF!,"&gt;14",$F$4:$F$200,"made")</f>
        <v>#REF!</v>
      </c>
      <c r="K64" s="18" t="e">
        <f>SUMIFS(#REF!,#REF!,"&lt;23",#REF!,"&gt;14",$F$4:$F$200,"missed")</f>
        <v>#REF!</v>
      </c>
      <c r="L64" s="17" t="e">
        <f>J64/(J64+K64)</f>
        <v>#REF!</v>
      </c>
      <c r="M64" s="17" t="e">
        <f>(J64+K64)/SUM($J$63:$K$66)</f>
        <v>#REF!</v>
      </c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 x14ac:dyDescent="0.2">
      <c r="A65">
        <v>1</v>
      </c>
      <c r="B65" s="1" t="s">
        <v>82</v>
      </c>
      <c r="C65" s="1" t="s">
        <v>77</v>
      </c>
      <c r="D65" s="1" t="s">
        <v>2</v>
      </c>
      <c r="E65" s="1" t="s">
        <v>75</v>
      </c>
      <c r="F65" s="1" t="s">
        <v>65</v>
      </c>
      <c r="G65" s="1"/>
      <c r="I65" s="18" t="s">
        <v>59</v>
      </c>
      <c r="J65" s="18" t="e">
        <f>SUMIFS(#REF!,#REF!,"&lt;15",#REF!,"&gt;7",$F$4:$F$200,"made")</f>
        <v>#REF!</v>
      </c>
      <c r="K65" s="18" t="e">
        <f>SUMIFS(#REF!,#REF!,"&lt;15",#REF!,"&gt;7",$F$4:$F$200,"missed")</f>
        <v>#REF!</v>
      </c>
      <c r="L65" s="17" t="e">
        <f>J65/(J65+K65)</f>
        <v>#REF!</v>
      </c>
      <c r="M65" s="17" t="e">
        <f>(J65+K65)/SUM($J$63:$K$66)</f>
        <v>#REF!</v>
      </c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 x14ac:dyDescent="0.2">
      <c r="A66">
        <v>1</v>
      </c>
      <c r="B66" s="1" t="s">
        <v>83</v>
      </c>
      <c r="C66" s="1" t="s">
        <v>77</v>
      </c>
      <c r="D66" s="1" t="s">
        <v>2</v>
      </c>
      <c r="E66" s="1" t="s">
        <v>75</v>
      </c>
      <c r="F66" s="1" t="s">
        <v>65</v>
      </c>
      <c r="G66" s="1"/>
      <c r="I66" s="19" t="s">
        <v>58</v>
      </c>
      <c r="J66" s="18" t="e">
        <f>SUMIFS(#REF!,#REF!,"&lt;8",$F$4:$F$200,"made")</f>
        <v>#REF!</v>
      </c>
      <c r="K66" s="18" t="e">
        <f>SUMIFS(#REF!,#REF!,"&lt;8",$F$4:$F$200,"missed")</f>
        <v>#REF!</v>
      </c>
      <c r="L66" s="17" t="e">
        <f>J66/(J66+K66)</f>
        <v>#REF!</v>
      </c>
      <c r="M66" s="17" t="e">
        <f>(J66+K66)/SUM($J$63:$K$66)</f>
        <v>#REF!</v>
      </c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 x14ac:dyDescent="0.2">
      <c r="A67">
        <v>1</v>
      </c>
      <c r="B67" s="1" t="s">
        <v>84</v>
      </c>
      <c r="C67" s="1" t="s">
        <v>74</v>
      </c>
      <c r="D67" s="1" t="s">
        <v>3</v>
      </c>
      <c r="E67" s="1" t="s">
        <v>78</v>
      </c>
      <c r="F67" s="1" t="s">
        <v>64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 x14ac:dyDescent="0.2">
      <c r="A68">
        <v>1</v>
      </c>
      <c r="B68" s="1" t="s">
        <v>87</v>
      </c>
      <c r="C68" s="1" t="s">
        <v>74</v>
      </c>
      <c r="D68" s="1" t="s">
        <v>2</v>
      </c>
      <c r="E68" s="1" t="s">
        <v>75</v>
      </c>
      <c r="F68" s="1" t="s">
        <v>64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 x14ac:dyDescent="0.2">
      <c r="A69">
        <v>1</v>
      </c>
      <c r="B69" s="1" t="s">
        <v>86</v>
      </c>
      <c r="C69" s="1" t="s">
        <v>77</v>
      </c>
      <c r="D69" s="1" t="s">
        <v>2</v>
      </c>
      <c r="E69" s="1" t="s">
        <v>75</v>
      </c>
      <c r="F69" s="1" t="s">
        <v>64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 x14ac:dyDescent="0.2">
      <c r="A70">
        <v>0</v>
      </c>
      <c r="B70" s="1" t="s">
        <v>88</v>
      </c>
      <c r="C70" s="1" t="s">
        <v>74</v>
      </c>
      <c r="D70" s="1" t="s">
        <v>3</v>
      </c>
      <c r="E70" s="1" t="s">
        <v>78</v>
      </c>
      <c r="F70" s="1" t="s">
        <v>64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 x14ac:dyDescent="0.2">
      <c r="A71">
        <v>0</v>
      </c>
      <c r="B71" s="1" t="s">
        <v>88</v>
      </c>
      <c r="C71" s="1" t="s">
        <v>74</v>
      </c>
      <c r="D71" s="1" t="s">
        <v>3</v>
      </c>
      <c r="E71" s="1" t="s">
        <v>78</v>
      </c>
      <c r="F71" s="1" t="s">
        <v>65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 x14ac:dyDescent="0.2">
      <c r="A72">
        <v>1</v>
      </c>
      <c r="B72" s="1" t="s">
        <v>89</v>
      </c>
      <c r="C72" s="1" t="s">
        <v>77</v>
      </c>
      <c r="D72" s="1" t="s">
        <v>2</v>
      </c>
      <c r="E72" s="1" t="s">
        <v>75</v>
      </c>
      <c r="F72" s="1" t="s">
        <v>64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 x14ac:dyDescent="0.2">
      <c r="A73">
        <v>1</v>
      </c>
      <c r="B73" s="1" t="s">
        <v>86</v>
      </c>
      <c r="C73" s="1" t="s">
        <v>74</v>
      </c>
      <c r="D73" s="1" t="s">
        <v>2</v>
      </c>
      <c r="E73" s="1" t="s">
        <v>75</v>
      </c>
      <c r="F73" s="1" t="s">
        <v>65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 x14ac:dyDescent="0.2">
      <c r="A74">
        <v>2</v>
      </c>
      <c r="B74" s="1" t="s">
        <v>88</v>
      </c>
      <c r="C74" s="1" t="s">
        <v>77</v>
      </c>
      <c r="D74" s="1" t="s">
        <v>2</v>
      </c>
      <c r="E74" s="1" t="s">
        <v>75</v>
      </c>
      <c r="F74" s="1" t="s">
        <v>65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 x14ac:dyDescent="0.2">
      <c r="A75">
        <v>1</v>
      </c>
      <c r="B75" s="1" t="s">
        <v>89</v>
      </c>
      <c r="C75" s="1" t="s">
        <v>74</v>
      </c>
      <c r="D75" s="1" t="s">
        <v>2</v>
      </c>
      <c r="E75" s="1" t="s">
        <v>75</v>
      </c>
      <c r="F75" s="1" t="s">
        <v>65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 x14ac:dyDescent="0.2">
      <c r="A76">
        <v>1</v>
      </c>
      <c r="B76" s="1" t="s">
        <v>89</v>
      </c>
      <c r="C76" s="1" t="s">
        <v>74</v>
      </c>
      <c r="D76" s="1" t="s">
        <v>2</v>
      </c>
      <c r="E76" s="1" t="s">
        <v>75</v>
      </c>
      <c r="F76" s="1" t="s">
        <v>65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 x14ac:dyDescent="0.2">
      <c r="A77">
        <v>1</v>
      </c>
      <c r="B77" s="1" t="s">
        <v>86</v>
      </c>
      <c r="C77" s="1" t="s">
        <v>74</v>
      </c>
      <c r="D77" s="1" t="s">
        <v>2</v>
      </c>
      <c r="E77" s="1" t="s">
        <v>75</v>
      </c>
      <c r="F77" s="1" t="s">
        <v>65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 x14ac:dyDescent="0.2">
      <c r="A78">
        <v>2</v>
      </c>
      <c r="B78" s="1" t="s">
        <v>90</v>
      </c>
      <c r="C78" s="1" t="s">
        <v>77</v>
      </c>
      <c r="D78" s="1" t="s">
        <v>2</v>
      </c>
      <c r="E78" s="1" t="s">
        <v>75</v>
      </c>
      <c r="F78" s="1" t="s">
        <v>64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 x14ac:dyDescent="0.2">
      <c r="A79">
        <v>1</v>
      </c>
      <c r="B79" s="1" t="s">
        <v>83</v>
      </c>
      <c r="C79" s="1" t="s">
        <v>77</v>
      </c>
      <c r="D79" s="1" t="s">
        <v>2</v>
      </c>
      <c r="E79" s="1" t="s">
        <v>75</v>
      </c>
      <c r="F79" s="1" t="s">
        <v>65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 x14ac:dyDescent="0.2">
      <c r="A80">
        <v>1</v>
      </c>
      <c r="B80" s="1" t="s">
        <v>88</v>
      </c>
      <c r="C80" s="1" t="s">
        <v>77</v>
      </c>
      <c r="D80" s="1" t="s">
        <v>2</v>
      </c>
      <c r="E80" s="1" t="s">
        <v>75</v>
      </c>
      <c r="F80" s="1" t="s">
        <v>65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75" x14ac:dyDescent="0.2">
      <c r="A81">
        <v>2</v>
      </c>
      <c r="B81" s="1" t="s">
        <v>85</v>
      </c>
      <c r="C81" s="1" t="s">
        <v>74</v>
      </c>
      <c r="D81" s="1" t="s">
        <v>2</v>
      </c>
      <c r="E81" s="1" t="s">
        <v>75</v>
      </c>
      <c r="F81" s="1" t="s">
        <v>64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75" x14ac:dyDescent="0.2">
      <c r="A82">
        <v>1</v>
      </c>
      <c r="B82" s="1" t="s">
        <v>76</v>
      </c>
      <c r="C82" s="1" t="s">
        <v>74</v>
      </c>
      <c r="D82" s="1" t="s">
        <v>2</v>
      </c>
      <c r="E82" s="1" t="s">
        <v>75</v>
      </c>
      <c r="F82" s="1" t="s">
        <v>65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75" x14ac:dyDescent="0.2">
      <c r="A83">
        <v>1</v>
      </c>
      <c r="B83" s="1" t="s">
        <v>73</v>
      </c>
      <c r="C83" s="1" t="s">
        <v>74</v>
      </c>
      <c r="D83" s="1" t="s">
        <v>2</v>
      </c>
      <c r="E83" s="1" t="s">
        <v>75</v>
      </c>
      <c r="F83" s="1" t="s">
        <v>65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75" x14ac:dyDescent="0.2">
      <c r="A84">
        <v>1</v>
      </c>
      <c r="B84" s="1" t="s">
        <v>85</v>
      </c>
      <c r="C84" s="1" t="s">
        <v>74</v>
      </c>
      <c r="D84" s="1" t="s">
        <v>2</v>
      </c>
      <c r="E84" s="1" t="s">
        <v>75</v>
      </c>
      <c r="F84" s="1" t="s">
        <v>65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75" x14ac:dyDescent="0.2">
      <c r="A85">
        <v>0</v>
      </c>
      <c r="B85" s="1" t="s">
        <v>80</v>
      </c>
      <c r="C85" s="1" t="s">
        <v>74</v>
      </c>
      <c r="D85" s="1" t="s">
        <v>3</v>
      </c>
      <c r="E85" s="1" t="s">
        <v>78</v>
      </c>
      <c r="F85" s="1" t="s">
        <v>64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75" x14ac:dyDescent="0.2">
      <c r="A86">
        <v>0</v>
      </c>
      <c r="B86" s="1" t="s">
        <v>83</v>
      </c>
      <c r="C86" s="1" t="s">
        <v>74</v>
      </c>
      <c r="D86" s="1" t="s">
        <v>3</v>
      </c>
      <c r="E86" s="1" t="s">
        <v>78</v>
      </c>
      <c r="F86" s="1" t="s">
        <v>65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7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7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7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7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7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7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7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7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7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7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2.7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2.7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2.7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2.7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2.7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2.7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2.7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2.7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2.7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2.7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2.7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2.7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2.7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2.7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2.7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2.7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2.7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2.7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2.7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2.7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2.7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2.7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2.7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2.7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2.7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2.7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2.7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2.7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2.7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2.7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2.7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2.7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2.7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2.7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2.7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2.7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2.7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2.7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2.7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2.7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2.7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2.7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2.7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2.7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2.7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2.7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2.7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2.7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2.7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2.7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2.7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2.7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2.7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2.7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2.7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2.7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2.7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2.7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2.7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2.7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2.7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2.7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2.7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2.7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2.7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2.7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2.7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2.7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2.7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2.7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2.7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2.7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2.7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2.7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2.7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2.7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2.7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2.7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2.7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2.7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2.7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2.7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2.7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2.7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2.7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2.7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2.7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2.7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2.7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2.7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2.7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2.7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2.7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2.7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2.7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2.7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2.7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2.7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2.7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2.7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2.7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2.7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2.7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2.7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2.7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2.7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2.7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2.7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2.7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2.7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2.7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2.7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2.7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2.7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2.7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2.7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2.7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2.7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2.7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2.7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2.7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2.7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2.7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2.7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2.7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2.7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2.7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2.7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2.7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2.7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2.7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12.7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12.7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12.7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12.7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12.7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12.7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12.7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12.7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12.7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12.7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12.7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12.7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12.7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12.7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12.7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12.7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12.7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12.7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12.7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12.7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12.7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12.7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12.7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12.7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12.7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12.7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12.7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12.7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12.7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12.7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12.7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12.7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12.7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12.7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12.7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12.7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12.7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12.7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12.7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12.7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12.7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12.7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12.7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12.7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12.7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12.7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12.7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12.7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12.7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12.7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12.7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12.7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12.7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12.7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12.7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12.7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12.7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12.7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12.7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12.7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12.7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12.7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12.7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12.7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12.7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12.7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12.7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12.7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12.7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12.7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12.7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12.7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12.7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12.7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12.7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12.7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12.7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12.7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12.7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12.7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12.7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12.7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12.7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12.7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12.7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12.7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12.7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12.7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12.7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12.7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12.7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12.7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12.7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12.7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12.7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12.7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12.7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12.7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12.7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12.7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12.7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12.7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12.7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12.7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12.7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12.7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12.7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12.7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12.7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12.7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12.7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12.7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12.7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12.7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12.7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12.7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12.7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12.7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12.7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12.7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12.7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12.7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12.7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12.7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12.7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12.7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12.7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12.7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12.7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12.7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12.7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12.7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12.7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12.7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12.7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12.7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12.7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12.7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12.7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12.7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12.7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12.7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12.7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12.7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12.7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12.7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12.7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12.7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12.7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12.7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12.7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12.7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12.7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12.7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12.7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12.7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12.7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12.7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12.7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12.7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12.7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12.7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12.7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12.7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12.7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12.7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12.7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12.7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12.7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12.7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12.7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12.7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12.7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12.7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12.7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12.7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12.7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12.7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12.7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12.7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12.7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12.7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12.7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12.7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12.7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12.7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12.7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12.7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12.7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12.7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12.7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12.7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12.7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12.7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12.7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12.7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12.7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12.7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12.7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12.7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12.7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12.7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12.7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12.7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12.7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12.7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12.7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12.7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12.7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12.7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12.7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12.7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12.7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12.7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12.7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12.7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12.7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12.7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12.7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12.7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12.7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12.7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12.7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12.7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12.7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12.7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12.7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12.7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12.7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12.7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12.7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12.7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12.7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12.7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12.7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12.7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12.7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12.7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12.7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12.7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12.7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12.7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12.7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12.7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12.7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12.7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12.7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12.7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12.7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12.7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12.7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12.7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12.7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12.7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12.7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12.7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12.7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12.7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12.7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12.7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12.7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12.7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12.7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12.7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12.7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12.7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12.7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12.7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12.7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12.7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12.7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12.7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12.7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12.7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12.7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12.7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12.7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12.7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12.7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12.7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12.7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12.7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12.7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12.7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12.7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12.7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12.7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12.7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12.7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12.7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12.7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12.7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12.7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12.7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12.7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12.7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12.7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12.7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12.7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12.7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12.7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12.7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12.7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12.7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12.7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12.7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12.7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12.7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12.7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12.7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12.7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12.7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12.7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12.7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12.7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12.7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12.7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12.7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12.7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12.7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12.7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12.7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12.7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12.7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12.7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12.7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12.7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12.7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12.7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12.7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12.7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12.7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12.7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12.7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12.7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12.7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12.7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12.7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12.7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12.7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12.7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12.7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12.7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12.7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12.7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12.7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12.7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12.7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12.7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12.7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12.7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12.7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12.7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12.7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12.7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12.7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12.7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12.7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12.7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12.7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12.7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12.7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12.7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12.7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12.7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12.7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12.7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12.7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12.7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12.7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12.7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12.7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12.7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12.7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12.7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12.7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12.7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12.7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12.7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12.7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12.7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12.7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12.7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12.7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12.7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12.7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12.7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12.7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12.7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12.7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12.7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12.7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12.7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12.7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12.7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12.7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12.7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12.7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12.7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12.7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12.7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12.7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12.7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12.7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12.7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12.7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12.7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12.7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12.7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12.7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12.7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12.7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12.7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12.7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12.7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12.7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12.7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12.7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12.7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12.7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12.7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12.7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12.7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12.7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12.7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12.7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12.7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12.7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12.7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12.7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12.7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12.7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12.7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12.7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12.7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12.7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12.7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12.7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12.7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12.7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12.7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12.7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12.7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12.7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12.7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12.7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12.7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12.7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12.7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12.7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12.7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12.7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12.7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12.7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12.7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12.7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12.7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12.7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12.7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12.7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12.7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12.7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12.7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12.7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12.7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12.7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12.7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12.7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12.7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12.7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12.7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12.7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12.7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12.7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12.7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12.7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12.7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12.7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12.7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12.7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12.7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12.7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12.7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12.7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12.7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12.7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12.7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12.7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12.7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12.7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12.7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12.7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12.7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12.7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12.7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12.7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12.7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12.7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12.7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12.7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12.7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12.7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12.7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12.7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12.7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12.7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12.7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12.7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12.7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12.7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12.7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12.7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12.7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12.7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12.7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12.7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12.7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12.7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12.7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12.7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12.7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12.7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12.7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12.7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12.7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12.7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12.7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12.7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12.7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12.7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12.7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12.7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12.7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12.7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12.7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12.7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12.7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12.7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12.7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12.7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12.7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12.7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12.7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12.7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12.7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12.7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12.7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12.7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12.7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12.7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12.7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12.7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12.7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12.7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12.7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12.7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12.7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12.7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12.7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12.7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12.7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12.7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12.7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12.7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12.7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12.7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12.7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12.7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12.7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12.7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12.7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12.7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12.7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12.7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12.7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12.7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12.7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12.7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12.7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12.7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12.7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12.7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12.7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12.7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12.7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12.7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12.7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12.7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12.7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12.7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12.7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12.7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12.7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12.7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12.7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12.7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12.7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12.7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12.7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12.7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12.7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12.7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12.7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12.7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12.7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12.7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12.7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12.7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12.7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12.7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12.7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12.7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12.7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12.7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12.7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12.7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12.7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12.7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12.7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12.7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12.7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12.7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12.75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12.75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12.75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12.75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12.75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12.75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12.75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12.75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12.75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12.75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12.75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12.75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12.75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12.75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12.75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12.75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12.75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12.75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12.75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12.75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12.75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12.75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12.75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12.75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12.75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12.75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12.75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12.75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12.75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12.75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12.75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12.75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12.75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12.75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12.75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12.75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12.75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12.75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12.75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12.75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12.75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12.75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12.75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12.75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12.75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12.75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12.75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12.75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12.75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12.75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12.75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12.75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12.75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12.75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12.75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12.75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12.75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12.75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12.75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12.75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12.75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12.75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12.75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12.75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12.75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12.75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12.75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12.75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12.75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12.75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12.75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12.75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12.75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12.75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12.75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12.75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12.75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12.75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12.75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12.75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12.75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12.75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12.75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12.75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12.75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12.75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12.75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12.75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12.75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12.75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12.75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12.75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12.75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12.75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12.75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12.75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12.75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12.75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12.75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12.75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12.75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12.75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12.75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12.75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12.75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12.75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12.75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12.75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12.75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12.75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12.75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12.75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12.75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12.75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12.75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12.75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12.75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12.75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12.75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12.75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12.75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12.75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12.75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12.75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12.75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12.75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12.75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12.75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12.75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12.75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12.75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12.75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12.75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12.75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12.75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12.75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12.75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12.75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12.75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12.75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12.75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12.75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2:23" ht="12.75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2:23" ht="12.75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2:23" ht="12.75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2:23" ht="12.75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2:23" ht="12.75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2:23" ht="12.75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2:23" ht="15.75" customHeight="1" x14ac:dyDescent="0.2">
      <c r="H998" s="1"/>
      <c r="I998" s="1"/>
      <c r="J998" s="1"/>
      <c r="K998" s="1"/>
      <c r="L998" s="1"/>
      <c r="M998" s="1"/>
    </row>
  </sheetData>
  <autoFilter ref="B3:F64" xr:uid="{00000000-0001-0000-02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8872-992C-4DE5-BC31-0C3FEF95B272}">
  <sheetPr>
    <outlinePr summaryBelow="0" summaryRight="0"/>
  </sheetPr>
  <dimension ref="A1:W998"/>
  <sheetViews>
    <sheetView workbookViewId="0">
      <pane ySplit="3" topLeftCell="A4" activePane="bottomLeft" state="frozen"/>
      <selection pane="bottomLeft" activeCell="I54" sqref="I54"/>
    </sheetView>
  </sheetViews>
  <sheetFormatPr defaultColWidth="12.7109375" defaultRowHeight="15.75" customHeight="1" x14ac:dyDescent="0.2"/>
  <cols>
    <col min="2" max="2" width="24.28515625" customWidth="1"/>
    <col min="3" max="3" width="15.28515625" customWidth="1"/>
    <col min="4" max="4" width="11.28515625" bestFit="1" customWidth="1"/>
    <col min="5" max="5" width="17.140625" bestFit="1" customWidth="1"/>
    <col min="6" max="6" width="16.7109375" bestFit="1" customWidth="1"/>
    <col min="7" max="7" width="10.28515625" customWidth="1"/>
    <col min="8" max="8" width="20.85546875" bestFit="1" customWidth="1"/>
    <col min="9" max="9" width="23.28515625" bestFit="1" customWidth="1"/>
    <col min="11" max="11" width="13.85546875" bestFit="1" customWidth="1"/>
    <col min="12" max="12" width="17.28515625" bestFit="1" customWidth="1"/>
  </cols>
  <sheetData>
    <row r="1" spans="1:23" ht="15.75" customHeight="1" x14ac:dyDescent="0.2">
      <c r="B1" s="1"/>
      <c r="C1" s="1"/>
      <c r="D1" s="1"/>
      <c r="E1" s="1"/>
      <c r="F1" s="1"/>
      <c r="G1" s="1"/>
      <c r="H1" s="1">
        <f>K13+K17+K21</f>
        <v>61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t="s">
        <v>93</v>
      </c>
      <c r="B3" s="2" t="s">
        <v>0</v>
      </c>
      <c r="C3" s="2" t="s">
        <v>69</v>
      </c>
      <c r="D3" s="2" t="s">
        <v>1</v>
      </c>
      <c r="E3" s="2" t="s">
        <v>70</v>
      </c>
      <c r="F3" s="2" t="s">
        <v>71</v>
      </c>
      <c r="G3" s="1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>
        <v>0</v>
      </c>
      <c r="B4" s="1" t="s">
        <v>94</v>
      </c>
      <c r="C4" s="1" t="s">
        <v>74</v>
      </c>
      <c r="D4" s="1" t="s">
        <v>3</v>
      </c>
      <c r="E4" s="1" t="s">
        <v>78</v>
      </c>
      <c r="F4" s="1" t="s">
        <v>64</v>
      </c>
      <c r="G4" s="1"/>
      <c r="H4" s="1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>
        <v>1</v>
      </c>
      <c r="B5" s="1" t="s">
        <v>76</v>
      </c>
      <c r="C5" s="1" t="s">
        <v>77</v>
      </c>
      <c r="D5" s="1" t="s">
        <v>2</v>
      </c>
      <c r="E5" s="1" t="s">
        <v>75</v>
      </c>
      <c r="F5" s="1" t="s">
        <v>65</v>
      </c>
      <c r="G5" s="1"/>
      <c r="H5" s="1"/>
      <c r="I5" s="4" t="s">
        <v>5</v>
      </c>
      <c r="J5" s="5">
        <f>COUNTIF(F4:F200,"Made")</f>
        <v>29</v>
      </c>
      <c r="K5" s="5"/>
      <c r="L5" s="5" t="s">
        <v>6</v>
      </c>
      <c r="M5" s="6">
        <f>J5/J7</f>
        <v>0.49152542372881358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>
        <v>1</v>
      </c>
      <c r="B6" s="1" t="s">
        <v>81</v>
      </c>
      <c r="C6" s="1" t="s">
        <v>77</v>
      </c>
      <c r="D6" s="1" t="s">
        <v>2</v>
      </c>
      <c r="E6" s="1" t="s">
        <v>75</v>
      </c>
      <c r="F6" s="1" t="s">
        <v>65</v>
      </c>
      <c r="G6" s="1"/>
      <c r="H6" s="1"/>
      <c r="I6" s="7" t="s">
        <v>7</v>
      </c>
      <c r="J6" s="1">
        <f>COUNTIF(F4:F200,"missed")</f>
        <v>30</v>
      </c>
      <c r="K6" s="1"/>
      <c r="L6" s="1"/>
      <c r="M6" s="8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>
        <v>1</v>
      </c>
      <c r="B7" s="1" t="s">
        <v>94</v>
      </c>
      <c r="C7" s="1" t="s">
        <v>77</v>
      </c>
      <c r="D7" s="1" t="s">
        <v>2</v>
      </c>
      <c r="E7" s="1" t="s">
        <v>75</v>
      </c>
      <c r="F7" s="1" t="s">
        <v>65</v>
      </c>
      <c r="G7" s="1"/>
      <c r="H7" s="1"/>
      <c r="I7" s="9" t="s">
        <v>8</v>
      </c>
      <c r="J7" s="10">
        <f>J5+J6</f>
        <v>59</v>
      </c>
      <c r="K7" s="10"/>
      <c r="L7" s="10"/>
      <c r="M7" s="1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>
        <v>2</v>
      </c>
      <c r="B8" s="1" t="s">
        <v>73</v>
      </c>
      <c r="C8" s="1" t="s">
        <v>74</v>
      </c>
      <c r="D8" s="1" t="s">
        <v>2</v>
      </c>
      <c r="E8" s="1" t="s">
        <v>75</v>
      </c>
      <c r="F8" s="1" t="s">
        <v>64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>
        <v>0</v>
      </c>
      <c r="B9" s="1" t="s">
        <v>82</v>
      </c>
      <c r="C9" s="1" t="s">
        <v>74</v>
      </c>
      <c r="D9" s="1" t="s">
        <v>2</v>
      </c>
      <c r="E9" s="1" t="s">
        <v>75</v>
      </c>
      <c r="F9" s="1" t="s">
        <v>64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>
        <v>2</v>
      </c>
      <c r="B10" s="1" t="s">
        <v>73</v>
      </c>
      <c r="C10" s="1" t="s">
        <v>74</v>
      </c>
      <c r="D10" s="1" t="s">
        <v>2</v>
      </c>
      <c r="E10" s="1" t="s">
        <v>75</v>
      </c>
      <c r="F10" s="1" t="s">
        <v>65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>
        <v>0</v>
      </c>
      <c r="B11" s="1" t="s">
        <v>87</v>
      </c>
      <c r="C11" s="1" t="s">
        <v>74</v>
      </c>
      <c r="D11" s="1" t="s">
        <v>2</v>
      </c>
      <c r="E11" s="1" t="s">
        <v>75</v>
      </c>
      <c r="F11" s="1" t="s">
        <v>65</v>
      </c>
      <c r="G11" s="1"/>
      <c r="H11" s="1"/>
      <c r="I11" s="1"/>
      <c r="J11" s="1"/>
      <c r="K11" s="2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2">
      <c r="A12">
        <v>1</v>
      </c>
      <c r="B12" s="1" t="s">
        <v>85</v>
      </c>
      <c r="C12" s="1" t="s">
        <v>77</v>
      </c>
      <c r="D12" s="1" t="s">
        <v>2</v>
      </c>
      <c r="E12" s="1" t="s">
        <v>75</v>
      </c>
      <c r="F12" s="1" t="s">
        <v>64</v>
      </c>
      <c r="G12" s="1"/>
      <c r="H12" s="1" t="s">
        <v>2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>
        <v>1</v>
      </c>
      <c r="B13" s="1" t="s">
        <v>87</v>
      </c>
      <c r="C13" s="1" t="s">
        <v>74</v>
      </c>
      <c r="D13" s="1" t="s">
        <v>2</v>
      </c>
      <c r="E13" s="1" t="s">
        <v>75</v>
      </c>
      <c r="F13" s="1" t="s">
        <v>65</v>
      </c>
      <c r="G13" s="1"/>
      <c r="H13" s="1"/>
      <c r="I13" s="4" t="s">
        <v>12</v>
      </c>
      <c r="J13" s="5">
        <f>COUNTIFS(D4:D100,"2PT",F4:F100,"Made")</f>
        <v>26</v>
      </c>
      <c r="K13" s="5">
        <f>J13*2</f>
        <v>52</v>
      </c>
      <c r="L13" s="5" t="s">
        <v>13</v>
      </c>
      <c r="M13" s="6">
        <f>J13/J15</f>
        <v>0.55319148936170215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>
        <v>1</v>
      </c>
      <c r="B14" s="1" t="s">
        <v>79</v>
      </c>
      <c r="C14" s="1" t="s">
        <v>77</v>
      </c>
      <c r="D14" s="1" t="s">
        <v>2</v>
      </c>
      <c r="E14" s="1" t="s">
        <v>75</v>
      </c>
      <c r="F14" s="1" t="s">
        <v>64</v>
      </c>
      <c r="G14" s="1"/>
      <c r="H14" s="1"/>
      <c r="I14" s="7" t="s">
        <v>14</v>
      </c>
      <c r="J14" s="1">
        <f>COUNTIFS(D4:D100,"2PT",F4:F100,"Missed")</f>
        <v>21</v>
      </c>
      <c r="K14" s="1"/>
      <c r="L14" s="1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>
        <v>2</v>
      </c>
      <c r="B15" s="1" t="s">
        <v>73</v>
      </c>
      <c r="C15" s="1" t="s">
        <v>74</v>
      </c>
      <c r="D15" s="1" t="s">
        <v>2</v>
      </c>
      <c r="E15" s="1" t="s">
        <v>75</v>
      </c>
      <c r="F15" s="1" t="s">
        <v>65</v>
      </c>
      <c r="G15" s="1"/>
      <c r="H15" s="1"/>
      <c r="I15" s="9" t="s">
        <v>15</v>
      </c>
      <c r="J15" s="10">
        <f>J13+J14</f>
        <v>47</v>
      </c>
      <c r="K15" s="10"/>
      <c r="L15" s="1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>
        <v>0</v>
      </c>
      <c r="B16" s="1" t="s">
        <v>73</v>
      </c>
      <c r="C16" s="1" t="s">
        <v>74</v>
      </c>
      <c r="D16" s="1" t="s">
        <v>3</v>
      </c>
      <c r="E16" s="1" t="s">
        <v>78</v>
      </c>
      <c r="F16" s="1" t="s">
        <v>65</v>
      </c>
      <c r="G16" s="1"/>
      <c r="H16" s="1" t="s">
        <v>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>
        <v>2</v>
      </c>
      <c r="B17" s="1" t="s">
        <v>83</v>
      </c>
      <c r="C17" s="1" t="s">
        <v>77</v>
      </c>
      <c r="D17" s="1" t="s">
        <v>2</v>
      </c>
      <c r="E17" s="1" t="s">
        <v>75</v>
      </c>
      <c r="F17" s="1" t="s">
        <v>65</v>
      </c>
      <c r="G17" s="1"/>
      <c r="H17" s="1"/>
      <c r="I17" s="4" t="s">
        <v>16</v>
      </c>
      <c r="J17" s="5">
        <f>COUNTIFS(D4:D86,"3PT",F4:F86,"MADE")</f>
        <v>3</v>
      </c>
      <c r="K17" s="5">
        <f>J17*3</f>
        <v>9</v>
      </c>
      <c r="L17" s="5" t="s">
        <v>17</v>
      </c>
      <c r="M17" s="6">
        <f>J17/J19</f>
        <v>0.25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>
        <v>1</v>
      </c>
      <c r="B18" s="1" t="s">
        <v>79</v>
      </c>
      <c r="C18" s="1" t="s">
        <v>77</v>
      </c>
      <c r="D18" s="1" t="s">
        <v>2</v>
      </c>
      <c r="E18" s="1" t="s">
        <v>75</v>
      </c>
      <c r="F18" s="1" t="s">
        <v>64</v>
      </c>
      <c r="G18" s="1"/>
      <c r="H18" s="1"/>
      <c r="I18" s="7" t="s">
        <v>18</v>
      </c>
      <c r="J18" s="1">
        <f>COUNTIFS(D4:D86,"3PT",F4:F86,"MISSED")</f>
        <v>9</v>
      </c>
      <c r="K18" s="1"/>
      <c r="L18" s="1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>
        <v>1</v>
      </c>
      <c r="B19" s="1" t="s">
        <v>83</v>
      </c>
      <c r="C19" s="1" t="s">
        <v>74</v>
      </c>
      <c r="D19" s="1" t="s">
        <v>2</v>
      </c>
      <c r="E19" s="1" t="s">
        <v>75</v>
      </c>
      <c r="F19" s="1" t="s">
        <v>65</v>
      </c>
      <c r="G19" s="1"/>
      <c r="H19" s="1"/>
      <c r="I19" s="9" t="s">
        <v>19</v>
      </c>
      <c r="J19" s="10">
        <f>J17+J18</f>
        <v>12</v>
      </c>
      <c r="K19" s="10"/>
      <c r="L19" s="1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>
        <v>0</v>
      </c>
      <c r="B20" s="1" t="s">
        <v>83</v>
      </c>
      <c r="C20" s="1" t="s">
        <v>74</v>
      </c>
      <c r="D20" s="1" t="s">
        <v>3</v>
      </c>
      <c r="E20" s="1" t="s">
        <v>78</v>
      </c>
      <c r="F20" s="1" t="s">
        <v>64</v>
      </c>
      <c r="G20" s="1"/>
      <c r="H20" s="1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>
        <v>0</v>
      </c>
      <c r="B21" s="1" t="s">
        <v>94</v>
      </c>
      <c r="C21" s="1" t="s">
        <v>77</v>
      </c>
      <c r="D21" s="1" t="s">
        <v>3</v>
      </c>
      <c r="E21" s="1" t="s">
        <v>78</v>
      </c>
      <c r="F21" s="1" t="s">
        <v>64</v>
      </c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>
        <v>1</v>
      </c>
      <c r="B22" s="1" t="s">
        <v>76</v>
      </c>
      <c r="C22" s="1" t="s">
        <v>74</v>
      </c>
      <c r="D22" s="1" t="s">
        <v>2</v>
      </c>
      <c r="E22" s="1" t="s">
        <v>75</v>
      </c>
      <c r="F22" s="1" t="s">
        <v>65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>
        <v>0</v>
      </c>
      <c r="B23" s="1" t="s">
        <v>79</v>
      </c>
      <c r="C23" s="1" t="s">
        <v>74</v>
      </c>
      <c r="D23" s="1" t="s">
        <v>3</v>
      </c>
      <c r="E23" s="1" t="s">
        <v>78</v>
      </c>
      <c r="F23" s="1" t="s">
        <v>65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>
        <v>0</v>
      </c>
      <c r="B24" s="1" t="s">
        <v>94</v>
      </c>
      <c r="C24" s="1" t="s">
        <v>74</v>
      </c>
      <c r="D24" s="1" t="s">
        <v>3</v>
      </c>
      <c r="E24" s="1" t="s">
        <v>78</v>
      </c>
      <c r="F24" s="1" t="s">
        <v>64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>
        <v>1</v>
      </c>
      <c r="B25" s="1" t="s">
        <v>73</v>
      </c>
      <c r="C25" s="1" t="s">
        <v>77</v>
      </c>
      <c r="D25" s="1" t="s">
        <v>2</v>
      </c>
      <c r="E25" s="1" t="s">
        <v>75</v>
      </c>
      <c r="F25" s="1" t="s">
        <v>64</v>
      </c>
      <c r="G25" s="1"/>
      <c r="H25" s="1" t="s">
        <v>25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>
        <v>2</v>
      </c>
      <c r="B26" s="1" t="s">
        <v>73</v>
      </c>
      <c r="C26" s="1" t="s">
        <v>74</v>
      </c>
      <c r="D26" s="1" t="s">
        <v>2</v>
      </c>
      <c r="E26" s="1" t="s">
        <v>75</v>
      </c>
      <c r="F26" s="1" t="s">
        <v>64</v>
      </c>
      <c r="G26" s="1"/>
      <c r="H26" s="1"/>
      <c r="I26" s="4" t="s">
        <v>26</v>
      </c>
      <c r="J26" s="5">
        <f>COUNTIFS(E4:E86,"LAYUP",F4:F86,"MADE")</f>
        <v>25</v>
      </c>
      <c r="K26" s="5"/>
      <c r="L26" s="5" t="s">
        <v>27</v>
      </c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>
        <v>1</v>
      </c>
      <c r="B27" s="1" t="s">
        <v>73</v>
      </c>
      <c r="C27" s="1" t="s">
        <v>77</v>
      </c>
      <c r="D27" s="1" t="s">
        <v>2</v>
      </c>
      <c r="E27" s="1" t="s">
        <v>75</v>
      </c>
      <c r="F27" s="1" t="s">
        <v>64</v>
      </c>
      <c r="G27" s="1"/>
      <c r="H27" s="1"/>
      <c r="I27" s="7" t="s">
        <v>28</v>
      </c>
      <c r="J27" s="1">
        <f>COUNTIFS(E4:E86,"LAYUP",F4:F86,"MISSED")</f>
        <v>18</v>
      </c>
      <c r="K27" s="1"/>
      <c r="L27" s="1" t="s">
        <v>92</v>
      </c>
      <c r="M27" s="13">
        <f>J28/J7</f>
        <v>0.72881355932203384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>
        <v>0</v>
      </c>
      <c r="B28" s="1" t="s">
        <v>76</v>
      </c>
      <c r="C28" s="1" t="s">
        <v>77</v>
      </c>
      <c r="D28" s="1" t="s">
        <v>2</v>
      </c>
      <c r="E28" s="1" t="s">
        <v>78</v>
      </c>
      <c r="F28" s="1" t="s">
        <v>64</v>
      </c>
      <c r="G28" s="1"/>
      <c r="H28" s="1"/>
      <c r="I28" s="7" t="s">
        <v>29</v>
      </c>
      <c r="J28" s="1">
        <f>J26+J27</f>
        <v>43</v>
      </c>
      <c r="K28" s="1"/>
      <c r="L28" s="1" t="s">
        <v>91</v>
      </c>
      <c r="M28" s="13">
        <f>J32/J7</f>
        <v>0.2711864406779661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>
        <v>0</v>
      </c>
      <c r="B29" s="1" t="s">
        <v>79</v>
      </c>
      <c r="C29" s="1" t="s">
        <v>74</v>
      </c>
      <c r="D29" s="1" t="s">
        <v>3</v>
      </c>
      <c r="E29" s="1" t="s">
        <v>78</v>
      </c>
      <c r="F29" s="1" t="s">
        <v>64</v>
      </c>
      <c r="G29" s="1"/>
      <c r="H29" s="1"/>
      <c r="I29" s="7"/>
      <c r="J29" s="1"/>
      <c r="K29" s="1"/>
      <c r="L29" s="1"/>
      <c r="M29" s="8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>
        <v>1</v>
      </c>
      <c r="B30" s="1" t="s">
        <v>85</v>
      </c>
      <c r="C30" s="1" t="s">
        <v>74</v>
      </c>
      <c r="D30" s="1" t="s">
        <v>2</v>
      </c>
      <c r="E30" s="1" t="s">
        <v>75</v>
      </c>
      <c r="F30" s="1" t="s">
        <v>65</v>
      </c>
      <c r="G30" s="1"/>
      <c r="H30" s="1"/>
      <c r="I30" s="7" t="s">
        <v>30</v>
      </c>
      <c r="J30" s="1">
        <f>COUNTIFS(E4:E86,"JUMPER",F4:F86,"MADE")</f>
        <v>4</v>
      </c>
      <c r="K30" s="1"/>
      <c r="L30" s="1"/>
      <c r="M30" s="8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>
        <v>2</v>
      </c>
      <c r="B31" s="1" t="s">
        <v>76</v>
      </c>
      <c r="C31" s="1" t="s">
        <v>74</v>
      </c>
      <c r="D31" s="1" t="s">
        <v>2</v>
      </c>
      <c r="E31" s="1" t="s">
        <v>75</v>
      </c>
      <c r="F31" s="1" t="s">
        <v>65</v>
      </c>
      <c r="G31" s="1"/>
      <c r="H31" s="1"/>
      <c r="I31" s="7" t="s">
        <v>31</v>
      </c>
      <c r="J31" s="1">
        <f>COUNTIFS(E4:E86,"JUMPER",F4:F86,"MISSED")</f>
        <v>12</v>
      </c>
      <c r="K31" s="1"/>
      <c r="L31" s="1"/>
      <c r="M31" s="8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>
        <v>1</v>
      </c>
      <c r="B32" s="1" t="s">
        <v>73</v>
      </c>
      <c r="C32" s="1" t="s">
        <v>74</v>
      </c>
      <c r="D32" s="1" t="s">
        <v>2</v>
      </c>
      <c r="E32" s="1" t="s">
        <v>75</v>
      </c>
      <c r="F32" s="1" t="s">
        <v>64</v>
      </c>
      <c r="G32" s="1"/>
      <c r="H32" s="1"/>
      <c r="I32" s="9" t="s">
        <v>32</v>
      </c>
      <c r="J32" s="10">
        <f>J30+J31</f>
        <v>16</v>
      </c>
      <c r="K32" s="10"/>
      <c r="L32" s="10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>
        <v>0</v>
      </c>
      <c r="B33" s="1" t="s">
        <v>94</v>
      </c>
      <c r="C33" s="1" t="s">
        <v>77</v>
      </c>
      <c r="D33" s="1" t="s">
        <v>2</v>
      </c>
      <c r="E33" s="1" t="s">
        <v>78</v>
      </c>
      <c r="F33" s="1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>
        <v>3</v>
      </c>
      <c r="B34" s="1" t="s">
        <v>83</v>
      </c>
      <c r="C34" s="1" t="s">
        <v>74</v>
      </c>
      <c r="D34" s="1" t="s">
        <v>2</v>
      </c>
      <c r="E34" s="1" t="s">
        <v>78</v>
      </c>
      <c r="F34" s="1" t="s">
        <v>65</v>
      </c>
      <c r="G34" s="1"/>
      <c r="H34" s="1" t="s">
        <v>33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>
        <v>2</v>
      </c>
      <c r="B35" s="1" t="s">
        <v>94</v>
      </c>
      <c r="C35" s="1" t="s">
        <v>74</v>
      </c>
      <c r="D35" s="1" t="s">
        <v>2</v>
      </c>
      <c r="E35" s="1" t="s">
        <v>75</v>
      </c>
      <c r="F35" s="1" t="s">
        <v>64</v>
      </c>
      <c r="G35" s="1"/>
      <c r="H35" s="1"/>
      <c r="I35" s="4" t="s">
        <v>34</v>
      </c>
      <c r="J35" s="5">
        <f>COUNTIFS(C4:C86,"C+S",E4:E86,"LAYUP",F4:F86,"MADE")</f>
        <v>15</v>
      </c>
      <c r="K35" s="5"/>
      <c r="L35" s="5" t="s">
        <v>35</v>
      </c>
      <c r="M35" s="14">
        <f>J37/J28</f>
        <v>0.51162790697674421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>
        <v>1</v>
      </c>
      <c r="B36" s="1" t="s">
        <v>79</v>
      </c>
      <c r="C36" s="1" t="s">
        <v>77</v>
      </c>
      <c r="D36" s="1" t="s">
        <v>2</v>
      </c>
      <c r="E36" s="1" t="s">
        <v>75</v>
      </c>
      <c r="F36" s="1" t="s">
        <v>65</v>
      </c>
      <c r="G36" s="1"/>
      <c r="H36" s="1"/>
      <c r="I36" s="7" t="s">
        <v>36</v>
      </c>
      <c r="J36" s="1">
        <f>COUNTIFS(C4:C86,"C+S",E4:E86,"LAYUP",F4:F86,"MISSED")</f>
        <v>7</v>
      </c>
      <c r="K36" s="1"/>
      <c r="L36" s="1" t="s">
        <v>37</v>
      </c>
      <c r="M36" s="13">
        <f>J35/J37</f>
        <v>0.68181818181818177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 x14ac:dyDescent="0.2">
      <c r="A37">
        <v>1</v>
      </c>
      <c r="B37" s="1" t="s">
        <v>82</v>
      </c>
      <c r="C37" s="1" t="s">
        <v>77</v>
      </c>
      <c r="D37" s="1" t="s">
        <v>2</v>
      </c>
      <c r="E37" s="1" t="s">
        <v>75</v>
      </c>
      <c r="F37" s="1" t="s">
        <v>65</v>
      </c>
      <c r="G37" s="1"/>
      <c r="H37" s="1"/>
      <c r="I37" s="7" t="s">
        <v>38</v>
      </c>
      <c r="J37" s="1">
        <f>J35+J36</f>
        <v>22</v>
      </c>
      <c r="K37" s="1"/>
      <c r="L37" s="1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 x14ac:dyDescent="0.2">
      <c r="A38">
        <v>1</v>
      </c>
      <c r="B38" s="1" t="s">
        <v>89</v>
      </c>
      <c r="C38" s="1" t="s">
        <v>74</v>
      </c>
      <c r="D38" s="1" t="s">
        <v>2</v>
      </c>
      <c r="E38" s="1" t="s">
        <v>75</v>
      </c>
      <c r="F38" s="1" t="s">
        <v>65</v>
      </c>
      <c r="G38" s="1"/>
      <c r="H38" s="1"/>
      <c r="I38" s="15"/>
      <c r="J38" s="1"/>
      <c r="K38" s="1"/>
      <c r="L38" s="1"/>
      <c r="M38" s="8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 x14ac:dyDescent="0.2">
      <c r="A39">
        <v>1</v>
      </c>
      <c r="B39" s="1" t="s">
        <v>81</v>
      </c>
      <c r="C39" s="1" t="s">
        <v>74</v>
      </c>
      <c r="D39" s="1" t="s">
        <v>3</v>
      </c>
      <c r="E39" s="1" t="s">
        <v>78</v>
      </c>
      <c r="F39" s="1" t="s">
        <v>65</v>
      </c>
      <c r="G39" s="1"/>
      <c r="H39" s="1"/>
      <c r="I39" s="7" t="s">
        <v>39</v>
      </c>
      <c r="J39" s="1">
        <f>COUNTIFS(C4:C86,"OTD",E4:E86,"LAYUP",F4:F86,"MADE")</f>
        <v>10</v>
      </c>
      <c r="K39" s="1"/>
      <c r="L39" s="1" t="s">
        <v>40</v>
      </c>
      <c r="M39" s="13">
        <f>J41/J28</f>
        <v>0.48837209302325579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 x14ac:dyDescent="0.2">
      <c r="A40">
        <v>0</v>
      </c>
      <c r="B40" s="1" t="s">
        <v>79</v>
      </c>
      <c r="C40" s="1" t="s">
        <v>74</v>
      </c>
      <c r="D40" s="1" t="s">
        <v>3</v>
      </c>
      <c r="E40" s="1" t="s">
        <v>78</v>
      </c>
      <c r="F40" s="1" t="s">
        <v>64</v>
      </c>
      <c r="G40" s="1"/>
      <c r="H40" s="1"/>
      <c r="I40" s="7" t="s">
        <v>41</v>
      </c>
      <c r="J40" s="1">
        <f>COUNTIFS(C4:C86,"OTD",E4:E86,"LAYUP",F4:F86,"MISSED")</f>
        <v>11</v>
      </c>
      <c r="K40" s="1"/>
      <c r="L40" s="1" t="s">
        <v>42</v>
      </c>
      <c r="M40" s="13">
        <f>J39/J41</f>
        <v>0.47619047619047616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 x14ac:dyDescent="0.2">
      <c r="A41">
        <v>1</v>
      </c>
      <c r="B41" s="1" t="s">
        <v>82</v>
      </c>
      <c r="C41" s="1" t="s">
        <v>74</v>
      </c>
      <c r="D41" s="1" t="s">
        <v>2</v>
      </c>
      <c r="E41" s="1" t="s">
        <v>75</v>
      </c>
      <c r="F41" s="1" t="s">
        <v>64</v>
      </c>
      <c r="G41" s="1"/>
      <c r="H41" s="1"/>
      <c r="I41" s="9" t="s">
        <v>43</v>
      </c>
      <c r="J41" s="10">
        <f>J39+J40</f>
        <v>21</v>
      </c>
      <c r="K41" s="10"/>
      <c r="L41" s="10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 x14ac:dyDescent="0.2">
      <c r="A42">
        <v>1</v>
      </c>
      <c r="B42" s="1" t="s">
        <v>81</v>
      </c>
      <c r="C42" s="1" t="s">
        <v>74</v>
      </c>
      <c r="D42" s="1" t="s">
        <v>2</v>
      </c>
      <c r="E42" s="1" t="s">
        <v>75</v>
      </c>
      <c r="F42" s="1" t="s">
        <v>64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 x14ac:dyDescent="0.2">
      <c r="A43">
        <v>1</v>
      </c>
      <c r="B43" s="1" t="s">
        <v>94</v>
      </c>
      <c r="C43" s="1" t="s">
        <v>77</v>
      </c>
      <c r="D43" s="1" t="s">
        <v>2</v>
      </c>
      <c r="E43" s="1" t="s">
        <v>75</v>
      </c>
      <c r="F43" s="1" t="s">
        <v>65</v>
      </c>
      <c r="G43" s="1"/>
      <c r="H43" s="1" t="s">
        <v>44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 x14ac:dyDescent="0.2">
      <c r="A44">
        <v>0</v>
      </c>
      <c r="B44" s="1" t="s">
        <v>94</v>
      </c>
      <c r="C44" s="1" t="s">
        <v>74</v>
      </c>
      <c r="D44" s="1" t="s">
        <v>3</v>
      </c>
      <c r="E44" s="1" t="s">
        <v>78</v>
      </c>
      <c r="F44" s="1" t="s">
        <v>64</v>
      </c>
      <c r="G44" s="1"/>
      <c r="H44" s="1"/>
      <c r="I44" s="4" t="s">
        <v>45</v>
      </c>
      <c r="J44" s="5">
        <f>COUNTIFS(C4:C86,"C+S",E4:E86,"JUMPER",F4:F86,"MADE")</f>
        <v>4</v>
      </c>
      <c r="K44" s="5"/>
      <c r="L44" s="5" t="s">
        <v>46</v>
      </c>
      <c r="M44" s="14">
        <f>J46/J32</f>
        <v>0.75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 x14ac:dyDescent="0.2">
      <c r="A45">
        <v>1</v>
      </c>
      <c r="B45" s="1" t="s">
        <v>73</v>
      </c>
      <c r="C45" s="1" t="s">
        <v>74</v>
      </c>
      <c r="D45" s="1" t="s">
        <v>3</v>
      </c>
      <c r="E45" s="1" t="s">
        <v>78</v>
      </c>
      <c r="F45" s="1" t="s">
        <v>64</v>
      </c>
      <c r="G45" s="1"/>
      <c r="H45" s="1"/>
      <c r="I45" s="7" t="s">
        <v>47</v>
      </c>
      <c r="J45" s="1">
        <f>COUNTIFS(C4:C86,"C+S",E4:E86,"JUMPER",F4:F86,"MISSED")</f>
        <v>8</v>
      </c>
      <c r="K45" s="1"/>
      <c r="L45" s="1" t="s">
        <v>37</v>
      </c>
      <c r="M45" s="13">
        <f>J44/J46</f>
        <v>0.33333333333333331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 x14ac:dyDescent="0.2">
      <c r="A46">
        <v>0</v>
      </c>
      <c r="B46" s="1" t="s">
        <v>85</v>
      </c>
      <c r="C46" s="1" t="s">
        <v>74</v>
      </c>
      <c r="D46" s="1" t="s">
        <v>3</v>
      </c>
      <c r="E46" s="1" t="s">
        <v>78</v>
      </c>
      <c r="F46" s="1" t="s">
        <v>64</v>
      </c>
      <c r="G46" s="1"/>
      <c r="H46" s="1"/>
      <c r="I46" s="7" t="s">
        <v>48</v>
      </c>
      <c r="J46" s="1">
        <f>J44+J45</f>
        <v>12</v>
      </c>
      <c r="K46" s="1"/>
      <c r="L46" s="1"/>
      <c r="M46" s="8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 x14ac:dyDescent="0.2">
      <c r="A47">
        <v>1</v>
      </c>
      <c r="B47" s="1" t="s">
        <v>85</v>
      </c>
      <c r="C47" s="1" t="s">
        <v>74</v>
      </c>
      <c r="D47" s="1" t="s">
        <v>2</v>
      </c>
      <c r="E47" s="1" t="s">
        <v>75</v>
      </c>
      <c r="F47" s="1" t="s">
        <v>65</v>
      </c>
      <c r="G47" s="1"/>
      <c r="H47" s="1"/>
      <c r="I47" s="15"/>
      <c r="J47" s="1"/>
      <c r="K47" s="1"/>
      <c r="L47" s="1"/>
      <c r="M47" s="8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 x14ac:dyDescent="0.2">
      <c r="A48">
        <v>1</v>
      </c>
      <c r="B48" s="1" t="s">
        <v>82</v>
      </c>
      <c r="C48" s="1" t="s">
        <v>77</v>
      </c>
      <c r="D48" s="1" t="s">
        <v>2</v>
      </c>
      <c r="E48" s="1" t="s">
        <v>75</v>
      </c>
      <c r="F48" s="1" t="s">
        <v>64</v>
      </c>
      <c r="G48" s="1"/>
      <c r="H48" s="1"/>
      <c r="I48" s="7" t="s">
        <v>49</v>
      </c>
      <c r="J48" s="1">
        <f>COUNTIFS(C4:C86,"OTD",E4:E86,"JUMPER",F4:F86,"MADE")</f>
        <v>0</v>
      </c>
      <c r="K48" s="1"/>
      <c r="L48" s="1" t="s">
        <v>50</v>
      </c>
      <c r="M48" s="13">
        <f>J50/J32</f>
        <v>0.25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 x14ac:dyDescent="0.2">
      <c r="A49">
        <v>0</v>
      </c>
      <c r="B49" s="1" t="s">
        <v>73</v>
      </c>
      <c r="C49" s="1" t="s">
        <v>77</v>
      </c>
      <c r="D49" s="1" t="s">
        <v>2</v>
      </c>
      <c r="E49" s="1" t="s">
        <v>75</v>
      </c>
      <c r="F49" s="1" t="s">
        <v>65</v>
      </c>
      <c r="G49" s="1"/>
      <c r="H49" s="1"/>
      <c r="I49" s="7" t="s">
        <v>51</v>
      </c>
      <c r="J49" s="1">
        <f>COUNTIFS(C4:C86,"OTD",E4:E86,"JUMPER",F4:F86,"MISSED")</f>
        <v>4</v>
      </c>
      <c r="K49" s="1"/>
      <c r="L49" s="1" t="s">
        <v>42</v>
      </c>
      <c r="M49" s="13">
        <f>J48/J50</f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 x14ac:dyDescent="0.2">
      <c r="A50">
        <v>1</v>
      </c>
      <c r="B50" s="1" t="s">
        <v>87</v>
      </c>
      <c r="C50" s="1" t="s">
        <v>74</v>
      </c>
      <c r="D50" s="1" t="s">
        <v>2</v>
      </c>
      <c r="E50" s="1" t="s">
        <v>75</v>
      </c>
      <c r="F50" s="1" t="s">
        <v>65</v>
      </c>
      <c r="G50" s="1"/>
      <c r="H50" s="1"/>
      <c r="I50" s="9" t="s">
        <v>52</v>
      </c>
      <c r="J50" s="10">
        <f>J48+J49</f>
        <v>4</v>
      </c>
      <c r="K50" s="10"/>
      <c r="L50" s="10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 x14ac:dyDescent="0.2">
      <c r="A51">
        <v>1</v>
      </c>
      <c r="B51" s="1" t="s">
        <v>82</v>
      </c>
      <c r="C51" s="1" t="s">
        <v>77</v>
      </c>
      <c r="D51" s="1" t="s">
        <v>2</v>
      </c>
      <c r="E51" s="1" t="s">
        <v>75</v>
      </c>
      <c r="F51" s="1" t="s">
        <v>64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 x14ac:dyDescent="0.2">
      <c r="A52">
        <v>2</v>
      </c>
      <c r="B52" s="1" t="s">
        <v>73</v>
      </c>
      <c r="C52" s="1" t="s">
        <v>74</v>
      </c>
      <c r="D52" s="1" t="s">
        <v>2</v>
      </c>
      <c r="E52" s="1" t="s">
        <v>75</v>
      </c>
      <c r="F52" s="1" t="s">
        <v>65</v>
      </c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 x14ac:dyDescent="0.2">
      <c r="A53">
        <v>1</v>
      </c>
      <c r="B53" s="1" t="s">
        <v>94</v>
      </c>
      <c r="C53" s="1" t="s">
        <v>77</v>
      </c>
      <c r="D53" s="1" t="s">
        <v>2</v>
      </c>
      <c r="E53" s="1" t="s">
        <v>75</v>
      </c>
      <c r="F53" s="1" t="s">
        <v>64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 x14ac:dyDescent="0.2">
      <c r="A54">
        <v>1</v>
      </c>
      <c r="B54" s="1" t="s">
        <v>87</v>
      </c>
      <c r="C54" s="1" t="s">
        <v>74</v>
      </c>
      <c r="D54" s="1" t="s">
        <v>2</v>
      </c>
      <c r="E54" s="1" t="s">
        <v>75</v>
      </c>
      <c r="F54" s="1" t="s">
        <v>65</v>
      </c>
      <c r="G54" s="1"/>
      <c r="I54" s="1"/>
      <c r="J54" s="2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 x14ac:dyDescent="0.2">
      <c r="A55">
        <v>1</v>
      </c>
      <c r="B55" s="1" t="s">
        <v>73</v>
      </c>
      <c r="C55" s="1" t="s">
        <v>77</v>
      </c>
      <c r="D55" s="1" t="s">
        <v>2</v>
      </c>
      <c r="E55" s="1" t="s">
        <v>75</v>
      </c>
      <c r="F55" s="1" t="s">
        <v>65</v>
      </c>
      <c r="G55" s="1"/>
      <c r="I55" s="1"/>
      <c r="J55" s="2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 x14ac:dyDescent="0.2">
      <c r="A56">
        <v>1</v>
      </c>
      <c r="B56" s="1" t="s">
        <v>87</v>
      </c>
      <c r="C56" s="1" t="s">
        <v>74</v>
      </c>
      <c r="D56" s="1" t="s">
        <v>2</v>
      </c>
      <c r="E56" s="1" t="s">
        <v>75</v>
      </c>
      <c r="F56" s="1" t="s">
        <v>65</v>
      </c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 x14ac:dyDescent="0.2">
      <c r="A57">
        <v>1</v>
      </c>
      <c r="B57" s="1" t="s">
        <v>76</v>
      </c>
      <c r="C57" s="1" t="s">
        <v>77</v>
      </c>
      <c r="D57" s="1" t="s">
        <v>2</v>
      </c>
      <c r="E57" s="1" t="s">
        <v>75</v>
      </c>
      <c r="F57" s="1" t="s">
        <v>64</v>
      </c>
      <c r="G57" s="1"/>
      <c r="I57" s="1"/>
      <c r="J57" s="2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 x14ac:dyDescent="0.2">
      <c r="A58">
        <v>0</v>
      </c>
      <c r="B58" s="1" t="s">
        <v>76</v>
      </c>
      <c r="C58" s="1" t="s">
        <v>77</v>
      </c>
      <c r="D58" s="1" t="s">
        <v>2</v>
      </c>
      <c r="E58" s="1" t="s">
        <v>78</v>
      </c>
      <c r="F58" s="1" t="s">
        <v>64</v>
      </c>
      <c r="G58" s="1"/>
      <c r="I58" s="1"/>
      <c r="J58" s="2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 x14ac:dyDescent="0.2">
      <c r="A59">
        <v>1</v>
      </c>
      <c r="B59" s="1" t="s">
        <v>82</v>
      </c>
      <c r="C59" s="1" t="s">
        <v>77</v>
      </c>
      <c r="D59" s="1" t="s">
        <v>2</v>
      </c>
      <c r="E59" s="1" t="s">
        <v>75</v>
      </c>
      <c r="F59" s="1" t="s">
        <v>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 x14ac:dyDescent="0.2">
      <c r="A60">
        <v>1</v>
      </c>
      <c r="B60" s="1" t="s">
        <v>94</v>
      </c>
      <c r="C60" s="1" t="s">
        <v>77</v>
      </c>
      <c r="D60" s="1" t="s">
        <v>2</v>
      </c>
      <c r="E60" s="1" t="s">
        <v>75</v>
      </c>
      <c r="F60" s="1" t="s">
        <v>64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 x14ac:dyDescent="0.2">
      <c r="A61">
        <v>1</v>
      </c>
      <c r="B61" s="1" t="s">
        <v>82</v>
      </c>
      <c r="C61" s="1" t="s">
        <v>74</v>
      </c>
      <c r="D61" s="1" t="s">
        <v>2</v>
      </c>
      <c r="E61" s="1" t="s">
        <v>75</v>
      </c>
      <c r="F61" s="1" t="s">
        <v>65</v>
      </c>
      <c r="G61" s="1"/>
      <c r="H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 x14ac:dyDescent="0.2">
      <c r="A62">
        <v>2</v>
      </c>
      <c r="B62" s="1" t="s">
        <v>82</v>
      </c>
      <c r="C62" s="1" t="s">
        <v>77</v>
      </c>
      <c r="D62" s="1" t="s">
        <v>2</v>
      </c>
      <c r="E62" s="1" t="s">
        <v>75</v>
      </c>
      <c r="F62" s="1" t="s">
        <v>64</v>
      </c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 x14ac:dyDescent="0.2">
      <c r="B63" s="1"/>
      <c r="C63" s="1"/>
      <c r="D63" s="1"/>
      <c r="E63" s="1"/>
      <c r="F63" s="1"/>
      <c r="G63" s="1"/>
      <c r="I63" s="1"/>
      <c r="J63" s="1"/>
      <c r="K63" s="1"/>
      <c r="L63" s="26"/>
      <c r="M63" s="26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 x14ac:dyDescent="0.2">
      <c r="B64" s="1"/>
      <c r="C64" s="1"/>
      <c r="D64" s="1"/>
      <c r="E64" s="1"/>
      <c r="F64" s="1"/>
      <c r="G64" s="1"/>
      <c r="I64" s="1"/>
      <c r="J64" s="1"/>
      <c r="K64" s="1"/>
      <c r="L64" s="26"/>
      <c r="M64" s="26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12.75" x14ac:dyDescent="0.2">
      <c r="B65" s="1"/>
      <c r="C65" s="1"/>
      <c r="D65" s="1"/>
      <c r="E65" s="1"/>
      <c r="F65" s="1"/>
      <c r="G65" s="1"/>
      <c r="I65" s="1"/>
      <c r="J65" s="1"/>
      <c r="K65" s="1"/>
      <c r="L65" s="26"/>
      <c r="M65" s="26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12.75" x14ac:dyDescent="0.2">
      <c r="B66" s="1"/>
      <c r="C66" s="1"/>
      <c r="D66" s="1"/>
      <c r="E66" s="1"/>
      <c r="F66" s="1"/>
      <c r="G66" s="1"/>
      <c r="I66" s="27"/>
      <c r="J66" s="1"/>
      <c r="K66" s="1"/>
      <c r="L66" s="26"/>
      <c r="M66" s="26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12.75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12.75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12.75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12.75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12.75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12.75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ht="12.75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ht="12.7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ht="12.7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12.7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12.7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ht="12.7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12.7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12.7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2.7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2.7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2.7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2.7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2.7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2.7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2.7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2.7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2.7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2.7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2.7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2.7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2.7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2.7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2.7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2.7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2.7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2.7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2.7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2.7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2.7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2.7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2.7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2.7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2.7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2.7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2.7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2.7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2.7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2.7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2.7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2.7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2.7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2.7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2.7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2.7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2.7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2.7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2.7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2.7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2.7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2.7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2.7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2.7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2.7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2.7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2.7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2.7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2.7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2.7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2.7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2.7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2.7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2.7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2.7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2.7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2.7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2.7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2.7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2.7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2.7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2.7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2.7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2.7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2.7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2.7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2.7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2.7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2.7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2.7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2.7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2.7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2.7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2.7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2.7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2.7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2.7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2.7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2.7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2.7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2.7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2.7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2.7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2.7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2.7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2.7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2.7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2.7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2.7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2.7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2.7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2.7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2.7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2.7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2.7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2.7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2.7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2.7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2.7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2.7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2.7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2.7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2.7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2.7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2.7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2.7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2.7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2.7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2.7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2.7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2.7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2.7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2.7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2.7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2.7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2.7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2.7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2.7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2.7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2.7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2.7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2.7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2.7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2.7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2.7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2.7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2.7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2.7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2.7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2.7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2.7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2.7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2.7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2.7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2.7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2.7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2.7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2.7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2.7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2.7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2.7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2.7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2.7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2.7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2.7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2.7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2.7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12.7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12.7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12.7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12.7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12.7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12.7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12.7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12.7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12.7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12.7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12.7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12.7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12.7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12.7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12.7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12.7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12.7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12.7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12.7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12.7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12.7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12.7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12.7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12.7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12.7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12.7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12.7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12.7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12.7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12.7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12.7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12.7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12.7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12.7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12.7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12.7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12.7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12.7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12.7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12.7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12.7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12.7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12.7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12.7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12.7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12.7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12.7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12.7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12.7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12.7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12.7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12.7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12.7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12.7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12.7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12.7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12.7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12.7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12.7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12.7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12.7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12.7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12.7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12.7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12.7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12.7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12.7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12.7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12.7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12.7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12.7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12.7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12.7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12.7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12.7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12.7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12.7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12.7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12.7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12.7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12.7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12.7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12.7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12.7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12.7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12.7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12.7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12.7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12.7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12.7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12.7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12.7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12.7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12.7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12.7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12.7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12.7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12.7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12.7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12.7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12.7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12.7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12.7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12.7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12.7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12.7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12.7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12.7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12.7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12.7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12.7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12.7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12.7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12.7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12.7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12.7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12.7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12.7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12.7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12.7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12.7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12.7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12.7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12.7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12.7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12.7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12.7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12.7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12.7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12.7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12.7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12.7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12.7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12.7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12.7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12.7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12.7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12.7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12.7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12.7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12.7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12.7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12.7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12.7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12.7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12.7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12.7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12.7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12.7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12.7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12.7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12.7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12.7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12.7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12.7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12.7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12.7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12.7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12.7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12.7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12.7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12.7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12.7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12.7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12.7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12.7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12.7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12.7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12.7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12.7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12.7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12.7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12.7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12.7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12.7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12.7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12.7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12.7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12.7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12.7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12.7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12.7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12.7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12.7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12.7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12.7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12.7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12.7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12.7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12.7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12.7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12.7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12.7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12.7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12.7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12.7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12.7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12.7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12.7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12.7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12.7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12.7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12.7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12.7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12.7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12.7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12.7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12.7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12.7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12.7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12.7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12.7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12.7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12.7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12.7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12.7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12.7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12.7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12.7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12.7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12.7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12.7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12.7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12.7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12.7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12.7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12.7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12.7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12.7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12.7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12.7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12.7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12.7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12.7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12.7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12.7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12.7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12.7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12.7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12.7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12.7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12.7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12.7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12.7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12.7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12.7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12.7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12.7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12.7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12.7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12.7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12.7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12.7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12.7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12.7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12.7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12.7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12.7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12.7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12.7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12.7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12.7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12.7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12.7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12.7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12.7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12.7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12.7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12.7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12.7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12.7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12.7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12.7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12.7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12.7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12.7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12.7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12.7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12.7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12.7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12.7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12.7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12.7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12.7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12.7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12.7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12.7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12.7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12.7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12.7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12.7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12.7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12.7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12.7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12.7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12.7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12.7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12.7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12.7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12.7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12.7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12.7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12.7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12.7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12.7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12.7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12.7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12.7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12.7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12.7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12.7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12.7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12.7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12.7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12.7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12.7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12.7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12.7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12.7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12.7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12.7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12.7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12.7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12.7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12.7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12.7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12.7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12.7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12.7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12.7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12.7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12.7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12.7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12.7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12.7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12.7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12.7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12.7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12.7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12.7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12.7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12.7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12.7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12.7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12.7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12.7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12.7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12.7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12.7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12.7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12.7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12.7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12.7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12.7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12.7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12.7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12.7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12.7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12.7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12.7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12.7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12.7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12.7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12.7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12.7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12.7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12.7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12.7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12.7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12.7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12.7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12.7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12.7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12.7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12.7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12.7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12.7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12.7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12.7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12.7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12.7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12.7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12.7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12.7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12.7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12.7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12.7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12.7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12.7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12.7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12.7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12.7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12.7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12.7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12.7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12.7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12.7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12.7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12.7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12.7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12.7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12.7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12.7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12.7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12.7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12.7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12.7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12.7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12.7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12.7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12.7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12.7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12.7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12.7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12.7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12.7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12.7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12.7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12.7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12.7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12.7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12.7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12.7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12.7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12.7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12.7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12.7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12.7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12.7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12.7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12.7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12.7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12.7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12.7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12.7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12.7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12.7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12.7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12.7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12.7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12.7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12.7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12.7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12.7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12.7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12.7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12.7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12.7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12.7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12.7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12.7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12.7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12.7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12.7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12.7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12.7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12.7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12.7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12.7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12.7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12.7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12.7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12.7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12.7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12.7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12.7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12.7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12.7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12.7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12.7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12.7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12.7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12.7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12.7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12.7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12.7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12.7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12.7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12.7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12.7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12.7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12.7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12.7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12.7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12.7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12.7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12.7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12.7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12.7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12.7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12.7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12.7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12.7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12.7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12.7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12.7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12.7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12.7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12.7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12.7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12.7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12.7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12.7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12.7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12.7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12.7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12.7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12.7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12.7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12.7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12.7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12.7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12.7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12.7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12.7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12.7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12.7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12.7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12.7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12.7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12.7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12.7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12.7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12.7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12.7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12.7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12.7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12.7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12.7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12.7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12.7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12.7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12.7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12.7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12.7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12.7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12.7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12.7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12.7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12.7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12.7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12.7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12.7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12.7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12.7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12.7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12.7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12.7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12.7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12.7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12.7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12.7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12.7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12.7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12.7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12.7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12.7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12.7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12.7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12.7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12.7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12.7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12.7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12.7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12.7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12.7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12.7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12.7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12.7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12.7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12.7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12.7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12.7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12.7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12.7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12.7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12.7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12.7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12.7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12.7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12.7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12.7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12.7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12.7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12.7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12.7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12.7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12.7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12.7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12.7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12.7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12.7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12.7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12.7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12.7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12.7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12.7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12.7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12.7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12.7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12.7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12.7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12.7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12.7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12.7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12.7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12.7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12.7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12.7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12.7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12.7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12.7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12.7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12.7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12.7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12.7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12.7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12.7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12.7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12.7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12.7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12.7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12.75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12.75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12.75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12.75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12.75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12.75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12.75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12.75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12.75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12.75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12.75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12.75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12.75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12.75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12.75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12.75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12.75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12.75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12.75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12.75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12.75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12.75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12.75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12.75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12.75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12.75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12.75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12.75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12.75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12.75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12.75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12.75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12.75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12.75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12.75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12.75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12.75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12.75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12.75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12.75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12.75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12.75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12.75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12.75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12.75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12.75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12.75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12.75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12.75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12.75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12.75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12.75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12.75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12.75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12.75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12.75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12.75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12.75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12.75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12.75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12.75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12.75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12.75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12.75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12.75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12.75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12.75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12.75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12.75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12.75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12.75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12.75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12.75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12.75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12.75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12.75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12.75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12.75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12.75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12.75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12.75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12.75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12.75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12.75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12.75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12.75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12.75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12.75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12.75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12.75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12.75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12.75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12.75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12.75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12.75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12.75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12.75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12.75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12.75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12.75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12.75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12.75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12.75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12.75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12.75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12.75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12.75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12.75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12.75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12.75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12.75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12.75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12.75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12.75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12.75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12.75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12.75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12.75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12.75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12.75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12.75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12.75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12.75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12.75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12.75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12.75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12.75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12.75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12.75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12.75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12.75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12.75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12.75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12.75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12.75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12.75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12.75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12.75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12.75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12.75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12.75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12.75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2:23" ht="12.75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2:23" ht="12.75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2:23" ht="12.75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2:23" ht="12.75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2:23" ht="12.75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2:23" ht="12.75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2:23" ht="15.75" customHeight="1" x14ac:dyDescent="0.2">
      <c r="H998" s="1"/>
      <c r="I998" s="1"/>
      <c r="J998" s="1"/>
      <c r="K998" s="1"/>
      <c r="L998" s="1"/>
      <c r="M998" s="1"/>
    </row>
  </sheetData>
  <autoFilter ref="B3:F64" xr:uid="{00000000-0001-0000-02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61EC-B9A6-4562-B5CD-940684D30B5B}">
  <sheetPr>
    <outlinePr summaryBelow="0" summaryRight="0"/>
  </sheetPr>
  <dimension ref="A1:W998"/>
  <sheetViews>
    <sheetView workbookViewId="0">
      <pane ySplit="3" topLeftCell="A4" activePane="bottomLeft" state="frozen"/>
      <selection pane="bottomLeft" activeCell="B70" sqref="B70"/>
    </sheetView>
  </sheetViews>
  <sheetFormatPr defaultColWidth="12.7109375" defaultRowHeight="15.75" customHeight="1" x14ac:dyDescent="0.2"/>
  <cols>
    <col min="2" max="2" width="24.28515625" customWidth="1"/>
    <col min="3" max="3" width="15.28515625" customWidth="1"/>
    <col min="4" max="4" width="11.28515625" bestFit="1" customWidth="1"/>
    <col min="5" max="5" width="17.140625" bestFit="1" customWidth="1"/>
    <col min="6" max="6" width="16.7109375" bestFit="1" customWidth="1"/>
    <col min="7" max="7" width="10.28515625" customWidth="1"/>
    <col min="8" max="8" width="20.85546875" bestFit="1" customWidth="1"/>
    <col min="9" max="9" width="23.28515625" bestFit="1" customWidth="1"/>
    <col min="11" max="11" width="13.85546875" bestFit="1" customWidth="1"/>
    <col min="12" max="12" width="17.28515625" bestFit="1" customWidth="1"/>
  </cols>
  <sheetData>
    <row r="1" spans="1:23" ht="15.75" customHeight="1" x14ac:dyDescent="0.2">
      <c r="B1" s="1"/>
      <c r="C1" s="1"/>
      <c r="D1" s="1"/>
      <c r="E1" s="1"/>
      <c r="F1" s="1"/>
      <c r="G1" s="1"/>
      <c r="H1" s="1">
        <f>K13+K17+K21</f>
        <v>51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t="s">
        <v>93</v>
      </c>
      <c r="B3" s="2" t="s">
        <v>0</v>
      </c>
      <c r="C3" s="2" t="s">
        <v>69</v>
      </c>
      <c r="D3" s="2" t="s">
        <v>1</v>
      </c>
      <c r="E3" s="2" t="s">
        <v>70</v>
      </c>
      <c r="F3" s="2" t="s">
        <v>71</v>
      </c>
      <c r="G3" s="1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>
        <v>1</v>
      </c>
      <c r="B4" s="1" t="s">
        <v>79</v>
      </c>
      <c r="C4" s="1" t="s">
        <v>77</v>
      </c>
      <c r="D4" s="1" t="s">
        <v>2</v>
      </c>
      <c r="E4" s="1" t="s">
        <v>75</v>
      </c>
      <c r="F4" s="1" t="s">
        <v>64</v>
      </c>
      <c r="G4" s="1"/>
      <c r="H4" s="1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>
        <v>1</v>
      </c>
      <c r="B5" s="1" t="s">
        <v>83</v>
      </c>
      <c r="C5" s="1" t="s">
        <v>74</v>
      </c>
      <c r="D5" s="1" t="s">
        <v>2</v>
      </c>
      <c r="E5" s="1" t="s">
        <v>75</v>
      </c>
      <c r="F5" s="1" t="s">
        <v>64</v>
      </c>
      <c r="G5" s="1"/>
      <c r="H5" s="1"/>
      <c r="I5" s="4" t="s">
        <v>5</v>
      </c>
      <c r="J5" s="5">
        <f>COUNTIF(F4:F200,"Made")</f>
        <v>23</v>
      </c>
      <c r="K5" s="5"/>
      <c r="L5" s="5" t="s">
        <v>6</v>
      </c>
      <c r="M5" s="6">
        <f>J5/J7</f>
        <v>0.34848484848484851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>
        <v>2</v>
      </c>
      <c r="B6" s="1" t="s">
        <v>73</v>
      </c>
      <c r="C6" s="1" t="s">
        <v>74</v>
      </c>
      <c r="D6" s="1" t="s">
        <v>2</v>
      </c>
      <c r="E6" s="1" t="s">
        <v>75</v>
      </c>
      <c r="F6" s="1" t="s">
        <v>64</v>
      </c>
      <c r="G6" s="1"/>
      <c r="H6" s="1"/>
      <c r="I6" s="7" t="s">
        <v>7</v>
      </c>
      <c r="J6" s="1">
        <f>COUNTIF(F4:F200,"missed")</f>
        <v>43</v>
      </c>
      <c r="K6" s="1"/>
      <c r="L6" s="1"/>
      <c r="M6" s="8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>
        <v>1</v>
      </c>
      <c r="B7" s="1" t="s">
        <v>76</v>
      </c>
      <c r="C7" s="1" t="s">
        <v>77</v>
      </c>
      <c r="D7" s="1" t="s">
        <v>2</v>
      </c>
      <c r="E7" s="1" t="s">
        <v>75</v>
      </c>
      <c r="F7" s="1" t="s">
        <v>65</v>
      </c>
      <c r="G7" s="1"/>
      <c r="H7" s="1"/>
      <c r="I7" s="9" t="s">
        <v>8</v>
      </c>
      <c r="J7" s="10">
        <f>J5+J6</f>
        <v>66</v>
      </c>
      <c r="K7" s="10"/>
      <c r="L7" s="10"/>
      <c r="M7" s="1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>
        <v>0</v>
      </c>
      <c r="B8" s="1" t="s">
        <v>79</v>
      </c>
      <c r="C8" s="1" t="s">
        <v>74</v>
      </c>
      <c r="D8" s="1" t="s">
        <v>3</v>
      </c>
      <c r="E8" s="1" t="s">
        <v>78</v>
      </c>
      <c r="F8" s="1" t="s">
        <v>64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>
        <v>1</v>
      </c>
      <c r="B9" s="1" t="s">
        <v>83</v>
      </c>
      <c r="C9" s="1" t="s">
        <v>77</v>
      </c>
      <c r="D9" s="1" t="s">
        <v>2</v>
      </c>
      <c r="E9" s="1" t="s">
        <v>75</v>
      </c>
      <c r="F9" s="1" t="s">
        <v>64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>
        <v>0</v>
      </c>
      <c r="B10" s="1" t="s">
        <v>76</v>
      </c>
      <c r="C10" s="1" t="s">
        <v>74</v>
      </c>
      <c r="D10" s="1" t="s">
        <v>3</v>
      </c>
      <c r="E10" s="1" t="s">
        <v>78</v>
      </c>
      <c r="F10" s="1" t="s">
        <v>65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>
        <v>0</v>
      </c>
      <c r="B11" s="1" t="s">
        <v>76</v>
      </c>
      <c r="C11" s="1" t="s">
        <v>77</v>
      </c>
      <c r="D11" s="1" t="s">
        <v>3</v>
      </c>
      <c r="E11" s="1" t="s">
        <v>78</v>
      </c>
      <c r="F11" s="1" t="s">
        <v>65</v>
      </c>
      <c r="G11" s="1"/>
      <c r="H11" s="1"/>
      <c r="I11" s="1"/>
      <c r="J11" s="1"/>
      <c r="K11" s="2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2">
      <c r="A12">
        <v>0</v>
      </c>
      <c r="B12" s="1" t="s">
        <v>73</v>
      </c>
      <c r="C12" s="1" t="s">
        <v>74</v>
      </c>
      <c r="D12" s="1" t="s">
        <v>3</v>
      </c>
      <c r="E12" s="1" t="s">
        <v>78</v>
      </c>
      <c r="F12" s="1" t="s">
        <v>64</v>
      </c>
      <c r="G12" s="1"/>
      <c r="H12" s="1" t="s">
        <v>2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>
        <v>0</v>
      </c>
      <c r="B13" s="1" t="s">
        <v>76</v>
      </c>
      <c r="C13" s="1" t="s">
        <v>77</v>
      </c>
      <c r="D13" s="1" t="s">
        <v>2</v>
      </c>
      <c r="E13" s="1" t="s">
        <v>78</v>
      </c>
      <c r="F13" s="1" t="s">
        <v>64</v>
      </c>
      <c r="G13" s="1"/>
      <c r="H13" s="1"/>
      <c r="I13" s="4" t="s">
        <v>12</v>
      </c>
      <c r="J13" s="5">
        <f>COUNTIFS(D4:D100,"2PT",F4:F100,"Made")</f>
        <v>18</v>
      </c>
      <c r="K13" s="5">
        <f>J13*2</f>
        <v>36</v>
      </c>
      <c r="L13" s="5" t="s">
        <v>13</v>
      </c>
      <c r="M13" s="6">
        <f>J13/J15</f>
        <v>0.40909090909090912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>
        <v>0</v>
      </c>
      <c r="B14" s="1" t="s">
        <v>76</v>
      </c>
      <c r="C14" s="1" t="s">
        <v>77</v>
      </c>
      <c r="D14" s="1" t="s">
        <v>3</v>
      </c>
      <c r="E14" s="1" t="s">
        <v>78</v>
      </c>
      <c r="F14" s="1" t="s">
        <v>64</v>
      </c>
      <c r="G14" s="1"/>
      <c r="H14" s="1"/>
      <c r="I14" s="7" t="s">
        <v>14</v>
      </c>
      <c r="J14" s="1">
        <f>COUNTIFS(D4:D100,"2PT",F4:F100,"Missed")</f>
        <v>26</v>
      </c>
      <c r="K14" s="1"/>
      <c r="L14" s="1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>
        <v>0</v>
      </c>
      <c r="B15" s="1" t="s">
        <v>94</v>
      </c>
      <c r="C15" s="1" t="s">
        <v>77</v>
      </c>
      <c r="D15" s="1" t="s">
        <v>3</v>
      </c>
      <c r="E15" s="1" t="s">
        <v>78</v>
      </c>
      <c r="F15" s="1" t="s">
        <v>64</v>
      </c>
      <c r="G15" s="1"/>
      <c r="H15" s="1"/>
      <c r="I15" s="9" t="s">
        <v>15</v>
      </c>
      <c r="J15" s="10">
        <f>J13+J14</f>
        <v>44</v>
      </c>
      <c r="K15" s="10"/>
      <c r="L15" s="1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>
        <v>0</v>
      </c>
      <c r="B16" s="1" t="s">
        <v>79</v>
      </c>
      <c r="C16" s="1" t="s">
        <v>74</v>
      </c>
      <c r="D16" s="1" t="s">
        <v>3</v>
      </c>
      <c r="E16" s="1" t="s">
        <v>78</v>
      </c>
      <c r="F16" s="1" t="s">
        <v>64</v>
      </c>
      <c r="G16" s="1"/>
      <c r="H16" s="1" t="s">
        <v>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>
        <v>1</v>
      </c>
      <c r="B17" s="1" t="s">
        <v>73</v>
      </c>
      <c r="C17" s="1" t="s">
        <v>74</v>
      </c>
      <c r="D17" s="1" t="s">
        <v>2</v>
      </c>
      <c r="E17" s="1" t="s">
        <v>75</v>
      </c>
      <c r="F17" s="1" t="s">
        <v>64</v>
      </c>
      <c r="G17" s="1"/>
      <c r="H17" s="1"/>
      <c r="I17" s="4" t="s">
        <v>16</v>
      </c>
      <c r="J17" s="5">
        <f>COUNTIFS(D4:D86,"3PT",F4:F86,"MADE")</f>
        <v>5</v>
      </c>
      <c r="K17" s="5">
        <f>J17*3</f>
        <v>15</v>
      </c>
      <c r="L17" s="5" t="s">
        <v>17</v>
      </c>
      <c r="M17" s="6">
        <f>J17/J19</f>
        <v>0.22727272727272727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>
        <v>1</v>
      </c>
      <c r="B18" s="1" t="s">
        <v>73</v>
      </c>
      <c r="C18" s="1" t="s">
        <v>77</v>
      </c>
      <c r="D18" s="1" t="s">
        <v>2</v>
      </c>
      <c r="E18" s="1" t="s">
        <v>75</v>
      </c>
      <c r="F18" s="1" t="s">
        <v>64</v>
      </c>
      <c r="G18" s="1"/>
      <c r="H18" s="1"/>
      <c r="I18" s="7" t="s">
        <v>18</v>
      </c>
      <c r="J18" s="1">
        <f>COUNTIFS(D4:D86,"3PT",F4:F86,"MISSED")</f>
        <v>17</v>
      </c>
      <c r="K18" s="1"/>
      <c r="L18" s="1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>
        <v>2</v>
      </c>
      <c r="B19" s="1" t="s">
        <v>73</v>
      </c>
      <c r="C19" s="1" t="s">
        <v>77</v>
      </c>
      <c r="D19" s="1" t="s">
        <v>2</v>
      </c>
      <c r="E19" s="1" t="s">
        <v>78</v>
      </c>
      <c r="F19" s="1" t="s">
        <v>64</v>
      </c>
      <c r="G19" s="1"/>
      <c r="H19" s="1"/>
      <c r="I19" s="9" t="s">
        <v>19</v>
      </c>
      <c r="J19" s="10">
        <f>J17+J18</f>
        <v>22</v>
      </c>
      <c r="K19" s="10"/>
      <c r="L19" s="1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>
        <v>3</v>
      </c>
      <c r="B20" s="1" t="s">
        <v>82</v>
      </c>
      <c r="C20" s="1" t="s">
        <v>74</v>
      </c>
      <c r="D20" s="1" t="s">
        <v>2</v>
      </c>
      <c r="E20" s="1" t="s">
        <v>75</v>
      </c>
      <c r="F20" s="1" t="s">
        <v>65</v>
      </c>
      <c r="G20" s="1"/>
      <c r="H20" s="1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>
        <v>1</v>
      </c>
      <c r="B21" s="1" t="s">
        <v>82</v>
      </c>
      <c r="C21" s="1" t="s">
        <v>77</v>
      </c>
      <c r="D21" s="1" t="s">
        <v>2</v>
      </c>
      <c r="E21" s="1" t="s">
        <v>75</v>
      </c>
      <c r="F21" s="1" t="s">
        <v>64</v>
      </c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>
        <v>0</v>
      </c>
      <c r="B22" s="1" t="s">
        <v>84</v>
      </c>
      <c r="C22" s="1" t="s">
        <v>77</v>
      </c>
      <c r="D22" s="1" t="s">
        <v>3</v>
      </c>
      <c r="E22" s="1" t="s">
        <v>78</v>
      </c>
      <c r="F22" s="1" t="s">
        <v>64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>
        <v>0</v>
      </c>
      <c r="B23" s="1" t="s">
        <v>83</v>
      </c>
      <c r="C23" s="1" t="s">
        <v>74</v>
      </c>
      <c r="D23" s="1" t="s">
        <v>3</v>
      </c>
      <c r="E23" s="1" t="s">
        <v>78</v>
      </c>
      <c r="F23" s="1" t="s">
        <v>64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>
        <v>2</v>
      </c>
      <c r="B24" s="1" t="s">
        <v>73</v>
      </c>
      <c r="C24" s="1" t="s">
        <v>74</v>
      </c>
      <c r="D24" s="1" t="s">
        <v>2</v>
      </c>
      <c r="E24" s="1" t="s">
        <v>75</v>
      </c>
      <c r="F24" s="1" t="s">
        <v>65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>
        <v>0</v>
      </c>
      <c r="B25" s="1" t="s">
        <v>76</v>
      </c>
      <c r="C25" s="1" t="s">
        <v>77</v>
      </c>
      <c r="D25" s="1" t="s">
        <v>2</v>
      </c>
      <c r="E25" s="1" t="s">
        <v>78</v>
      </c>
      <c r="F25" s="1" t="s">
        <v>64</v>
      </c>
      <c r="G25" s="1"/>
      <c r="H25" s="1" t="s">
        <v>25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>
        <v>2</v>
      </c>
      <c r="B26" s="1" t="s">
        <v>73</v>
      </c>
      <c r="C26" s="1" t="s">
        <v>77</v>
      </c>
      <c r="D26" s="1" t="s">
        <v>2</v>
      </c>
      <c r="E26" s="1" t="s">
        <v>75</v>
      </c>
      <c r="F26" s="1" t="s">
        <v>65</v>
      </c>
      <c r="G26" s="1"/>
      <c r="H26" s="1"/>
      <c r="I26" s="4" t="s">
        <v>26</v>
      </c>
      <c r="J26" s="5">
        <f>COUNTIFS(E4:E86,"LAYUP",F4:F86,"MADE")</f>
        <v>18</v>
      </c>
      <c r="K26" s="5"/>
      <c r="L26" s="5" t="s">
        <v>27</v>
      </c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>
        <v>0</v>
      </c>
      <c r="B27" s="1" t="s">
        <v>73</v>
      </c>
      <c r="C27" s="1" t="s">
        <v>74</v>
      </c>
      <c r="D27" s="1" t="s">
        <v>3</v>
      </c>
      <c r="E27" s="1" t="s">
        <v>78</v>
      </c>
      <c r="F27" s="1" t="s">
        <v>64</v>
      </c>
      <c r="G27" s="1"/>
      <c r="H27" s="1"/>
      <c r="I27" s="7" t="s">
        <v>28</v>
      </c>
      <c r="J27" s="1">
        <f>COUNTIFS(E4:E86,"LAYUP",F4:F86,"MISSED")</f>
        <v>19</v>
      </c>
      <c r="K27" s="1"/>
      <c r="L27" s="1" t="s">
        <v>92</v>
      </c>
      <c r="M27" s="13">
        <f>J28/J7</f>
        <v>0.56060606060606055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>
        <v>2</v>
      </c>
      <c r="B28" s="1" t="s">
        <v>73</v>
      </c>
      <c r="C28" s="1" t="s">
        <v>77</v>
      </c>
      <c r="D28" s="1" t="s">
        <v>2</v>
      </c>
      <c r="E28" s="1" t="s">
        <v>78</v>
      </c>
      <c r="F28" s="1" t="s">
        <v>64</v>
      </c>
      <c r="G28" s="1"/>
      <c r="H28" s="1"/>
      <c r="I28" s="7" t="s">
        <v>29</v>
      </c>
      <c r="J28" s="1">
        <f>J26+J27</f>
        <v>37</v>
      </c>
      <c r="K28" s="1"/>
      <c r="L28" s="1" t="s">
        <v>91</v>
      </c>
      <c r="M28" s="13">
        <f>J32/J7</f>
        <v>0.43939393939393939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>
        <v>1</v>
      </c>
      <c r="B29" s="1" t="s">
        <v>76</v>
      </c>
      <c r="C29" s="1" t="s">
        <v>77</v>
      </c>
      <c r="D29" s="1" t="s">
        <v>2</v>
      </c>
      <c r="E29" s="1" t="s">
        <v>75</v>
      </c>
      <c r="F29" s="1" t="s">
        <v>65</v>
      </c>
      <c r="G29" s="1"/>
      <c r="H29" s="1"/>
      <c r="I29" s="7"/>
      <c r="J29" s="1"/>
      <c r="K29" s="1"/>
      <c r="L29" s="1"/>
      <c r="M29" s="8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>
        <v>2</v>
      </c>
      <c r="B30" s="1" t="s">
        <v>73</v>
      </c>
      <c r="C30" s="1" t="s">
        <v>74</v>
      </c>
      <c r="D30" s="1" t="s">
        <v>2</v>
      </c>
      <c r="E30" s="1" t="s">
        <v>75</v>
      </c>
      <c r="F30" s="1" t="s">
        <v>65</v>
      </c>
      <c r="G30" s="1"/>
      <c r="H30" s="1"/>
      <c r="I30" s="7" t="s">
        <v>30</v>
      </c>
      <c r="J30" s="1">
        <f>COUNTIFS(E4:E86,"JUMPER",F4:F86,"MADE")</f>
        <v>5</v>
      </c>
      <c r="K30" s="1"/>
      <c r="L30" s="1"/>
      <c r="M30" s="8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>
        <v>1</v>
      </c>
      <c r="B31" s="1" t="s">
        <v>73</v>
      </c>
      <c r="C31" s="1" t="s">
        <v>77</v>
      </c>
      <c r="D31" s="1" t="s">
        <v>2</v>
      </c>
      <c r="E31" s="1" t="s">
        <v>75</v>
      </c>
      <c r="F31" s="1" t="s">
        <v>64</v>
      </c>
      <c r="G31" s="1"/>
      <c r="H31" s="1"/>
      <c r="I31" s="7" t="s">
        <v>31</v>
      </c>
      <c r="J31" s="1">
        <f>COUNTIFS(E4:E86,"JUMPER",F4:F86,"MISSED")</f>
        <v>24</v>
      </c>
      <c r="K31" s="1"/>
      <c r="L31" s="1"/>
      <c r="M31" s="8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>
        <v>1</v>
      </c>
      <c r="B32" s="1" t="s">
        <v>76</v>
      </c>
      <c r="C32" s="1" t="s">
        <v>77</v>
      </c>
      <c r="D32" s="1" t="s">
        <v>2</v>
      </c>
      <c r="E32" s="1" t="s">
        <v>75</v>
      </c>
      <c r="F32" s="1" t="s">
        <v>64</v>
      </c>
      <c r="G32" s="1"/>
      <c r="H32" s="1"/>
      <c r="I32" s="9" t="s">
        <v>32</v>
      </c>
      <c r="J32" s="10">
        <f>J30+J31</f>
        <v>29</v>
      </c>
      <c r="K32" s="10"/>
      <c r="L32" s="10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>
        <v>1</v>
      </c>
      <c r="B33" s="1" t="s">
        <v>94</v>
      </c>
      <c r="C33" s="1" t="s">
        <v>77</v>
      </c>
      <c r="D33" s="1" t="s">
        <v>2</v>
      </c>
      <c r="E33" s="1" t="s">
        <v>75</v>
      </c>
      <c r="F33" s="1" t="s">
        <v>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>
        <v>0</v>
      </c>
      <c r="B34" s="1" t="s">
        <v>85</v>
      </c>
      <c r="C34" s="1" t="s">
        <v>77</v>
      </c>
      <c r="D34" s="1" t="s">
        <v>3</v>
      </c>
      <c r="E34" s="1" t="s">
        <v>78</v>
      </c>
      <c r="F34" s="1" t="s">
        <v>65</v>
      </c>
      <c r="G34" s="1"/>
      <c r="H34" s="1" t="s">
        <v>33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>
        <v>0</v>
      </c>
      <c r="B35" s="1" t="s">
        <v>73</v>
      </c>
      <c r="C35" s="1" t="s">
        <v>74</v>
      </c>
      <c r="D35" s="1" t="s">
        <v>3</v>
      </c>
      <c r="E35" s="1" t="s">
        <v>78</v>
      </c>
      <c r="F35" s="1" t="s">
        <v>64</v>
      </c>
      <c r="G35" s="1"/>
      <c r="H35" s="1"/>
      <c r="I35" s="4" t="s">
        <v>34</v>
      </c>
      <c r="J35" s="5">
        <f>COUNTIFS(C4:C86,"C+S",E4:E86,"LAYUP",F4:F86,"MADE")</f>
        <v>8</v>
      </c>
      <c r="K35" s="5"/>
      <c r="L35" s="5" t="s">
        <v>35</v>
      </c>
      <c r="M35" s="14">
        <f>J37/J28</f>
        <v>0.40540540540540543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>
        <v>1</v>
      </c>
      <c r="B36" s="1" t="s">
        <v>79</v>
      </c>
      <c r="C36" s="1" t="s">
        <v>74</v>
      </c>
      <c r="D36" s="1" t="s">
        <v>2</v>
      </c>
      <c r="E36" s="1" t="s">
        <v>75</v>
      </c>
      <c r="F36" s="1" t="s">
        <v>65</v>
      </c>
      <c r="G36" s="1"/>
      <c r="H36" s="1"/>
      <c r="I36" s="7" t="s">
        <v>36</v>
      </c>
      <c r="J36" s="1">
        <f>COUNTIFS(C4:C86,"C+S",E4:E86,"LAYUP",F4:F86,"MISSED")</f>
        <v>7</v>
      </c>
      <c r="K36" s="1"/>
      <c r="L36" s="1" t="s">
        <v>37</v>
      </c>
      <c r="M36" s="13">
        <f>J35/J37</f>
        <v>0.53333333333333333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 x14ac:dyDescent="0.2">
      <c r="A37">
        <v>1</v>
      </c>
      <c r="B37" s="1" t="s">
        <v>79</v>
      </c>
      <c r="C37" s="1" t="s">
        <v>77</v>
      </c>
      <c r="D37" s="1" t="s">
        <v>2</v>
      </c>
      <c r="E37" s="1" t="s">
        <v>75</v>
      </c>
      <c r="F37" s="1" t="s">
        <v>64</v>
      </c>
      <c r="G37" s="1"/>
      <c r="H37" s="1"/>
      <c r="I37" s="7" t="s">
        <v>38</v>
      </c>
      <c r="J37" s="1">
        <f>J35+J36</f>
        <v>15</v>
      </c>
      <c r="K37" s="1"/>
      <c r="L37" s="1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 x14ac:dyDescent="0.2">
      <c r="A38">
        <v>1</v>
      </c>
      <c r="B38" s="1" t="s">
        <v>83</v>
      </c>
      <c r="C38" s="1" t="s">
        <v>74</v>
      </c>
      <c r="D38" s="1" t="s">
        <v>2</v>
      </c>
      <c r="E38" s="1" t="s">
        <v>75</v>
      </c>
      <c r="F38" s="1" t="s">
        <v>65</v>
      </c>
      <c r="G38" s="1"/>
      <c r="H38" s="1"/>
      <c r="I38" s="15"/>
      <c r="J38" s="1"/>
      <c r="K38" s="1"/>
      <c r="L38" s="1"/>
      <c r="M38" s="8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 x14ac:dyDescent="0.2">
      <c r="A39">
        <v>0</v>
      </c>
      <c r="B39" s="1" t="s">
        <v>94</v>
      </c>
      <c r="C39" s="1" t="s">
        <v>74</v>
      </c>
      <c r="D39" s="1" t="s">
        <v>3</v>
      </c>
      <c r="E39" s="1" t="s">
        <v>78</v>
      </c>
      <c r="F39" s="1" t="s">
        <v>64</v>
      </c>
      <c r="G39" s="1"/>
      <c r="H39" s="1"/>
      <c r="I39" s="7" t="s">
        <v>39</v>
      </c>
      <c r="J39" s="1">
        <f>COUNTIFS(C4:C86,"OTD",E4:E86,"LAYUP",F4:F86,"MADE")</f>
        <v>10</v>
      </c>
      <c r="K39" s="1"/>
      <c r="L39" s="1" t="s">
        <v>40</v>
      </c>
      <c r="M39" s="13">
        <f>J41/J28</f>
        <v>0.59459459459459463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 x14ac:dyDescent="0.2">
      <c r="A40">
        <v>1</v>
      </c>
      <c r="B40" s="1" t="s">
        <v>79</v>
      </c>
      <c r="C40" s="1" t="s">
        <v>77</v>
      </c>
      <c r="D40" s="1" t="s">
        <v>2</v>
      </c>
      <c r="E40" s="1" t="s">
        <v>75</v>
      </c>
      <c r="F40" s="1" t="s">
        <v>65</v>
      </c>
      <c r="G40" s="1"/>
      <c r="H40" s="1"/>
      <c r="I40" s="7" t="s">
        <v>41</v>
      </c>
      <c r="J40" s="1">
        <f>COUNTIFS(C4:C86,"OTD",E4:E86,"LAYUP",F4:F86,"MISSED")</f>
        <v>12</v>
      </c>
      <c r="K40" s="1"/>
      <c r="L40" s="1" t="s">
        <v>42</v>
      </c>
      <c r="M40" s="13">
        <f>J39/J41</f>
        <v>0.45454545454545453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 x14ac:dyDescent="0.2">
      <c r="A41">
        <v>2</v>
      </c>
      <c r="B41" s="1" t="s">
        <v>76</v>
      </c>
      <c r="C41" s="1" t="s">
        <v>77</v>
      </c>
      <c r="D41" s="1" t="s">
        <v>2</v>
      </c>
      <c r="E41" s="1" t="s">
        <v>78</v>
      </c>
      <c r="F41" s="1" t="s">
        <v>64</v>
      </c>
      <c r="G41" s="1"/>
      <c r="H41" s="1"/>
      <c r="I41" s="9" t="s">
        <v>43</v>
      </c>
      <c r="J41" s="10">
        <f>J39+J40</f>
        <v>22</v>
      </c>
      <c r="K41" s="10"/>
      <c r="L41" s="10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 x14ac:dyDescent="0.2">
      <c r="A42">
        <v>0</v>
      </c>
      <c r="B42" s="1" t="s">
        <v>73</v>
      </c>
      <c r="C42" s="1" t="s">
        <v>74</v>
      </c>
      <c r="D42" s="1" t="s">
        <v>2</v>
      </c>
      <c r="E42" s="1" t="s">
        <v>75</v>
      </c>
      <c r="F42" s="1" t="s">
        <v>65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 x14ac:dyDescent="0.2">
      <c r="A43">
        <v>1</v>
      </c>
      <c r="B43" s="1" t="s">
        <v>73</v>
      </c>
      <c r="C43" s="1" t="s">
        <v>77</v>
      </c>
      <c r="D43" s="1" t="s">
        <v>2</v>
      </c>
      <c r="E43" s="1" t="s">
        <v>75</v>
      </c>
      <c r="F43" s="1" t="s">
        <v>65</v>
      </c>
      <c r="G43" s="1"/>
      <c r="H43" s="1" t="s">
        <v>44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 x14ac:dyDescent="0.2">
      <c r="A44">
        <v>0</v>
      </c>
      <c r="B44" s="1" t="s">
        <v>84</v>
      </c>
      <c r="C44" s="1" t="s">
        <v>77</v>
      </c>
      <c r="D44" s="1" t="s">
        <v>3</v>
      </c>
      <c r="E44" s="1" t="s">
        <v>78</v>
      </c>
      <c r="F44" s="1" t="s">
        <v>64</v>
      </c>
      <c r="G44" s="1"/>
      <c r="H44" s="1"/>
      <c r="I44" s="4" t="s">
        <v>45</v>
      </c>
      <c r="J44" s="5">
        <f>COUNTIFS(C4:C86,"C+S",E4:E86,"JUMPER",F4:F86,"MADE")</f>
        <v>2</v>
      </c>
      <c r="K44" s="5"/>
      <c r="L44" s="5" t="s">
        <v>46</v>
      </c>
      <c r="M44" s="14">
        <f>J46/J32</f>
        <v>0.41379310344827586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 x14ac:dyDescent="0.2">
      <c r="A45">
        <v>1</v>
      </c>
      <c r="B45" s="1" t="s">
        <v>73</v>
      </c>
      <c r="C45" s="1" t="s">
        <v>74</v>
      </c>
      <c r="D45" s="1" t="s">
        <v>2</v>
      </c>
      <c r="E45" s="1" t="s">
        <v>75</v>
      </c>
      <c r="F45" s="1" t="s">
        <v>64</v>
      </c>
      <c r="G45" s="1"/>
      <c r="H45" s="1"/>
      <c r="I45" s="7" t="s">
        <v>47</v>
      </c>
      <c r="J45" s="1">
        <f>COUNTIFS(C4:C86,"C+S",E4:E86,"JUMPER",F4:F86,"MISSED")</f>
        <v>10</v>
      </c>
      <c r="K45" s="1"/>
      <c r="L45" s="1" t="s">
        <v>37</v>
      </c>
      <c r="M45" s="13">
        <f>J44/J46</f>
        <v>0.16666666666666666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 x14ac:dyDescent="0.2">
      <c r="A46">
        <v>0</v>
      </c>
      <c r="B46" s="1" t="s">
        <v>94</v>
      </c>
      <c r="C46" s="1" t="s">
        <v>77</v>
      </c>
      <c r="D46" s="1" t="s">
        <v>2</v>
      </c>
      <c r="E46" s="1" t="s">
        <v>75</v>
      </c>
      <c r="F46" s="1" t="s">
        <v>64</v>
      </c>
      <c r="G46" s="1"/>
      <c r="H46" s="1"/>
      <c r="I46" s="7" t="s">
        <v>48</v>
      </c>
      <c r="J46" s="1">
        <f>J44+J45</f>
        <v>12</v>
      </c>
      <c r="K46" s="1"/>
      <c r="L46" s="1"/>
      <c r="M46" s="8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 x14ac:dyDescent="0.2">
      <c r="A47">
        <v>1</v>
      </c>
      <c r="B47" s="1" t="s">
        <v>89</v>
      </c>
      <c r="C47" s="1" t="s">
        <v>77</v>
      </c>
      <c r="D47" s="1" t="s">
        <v>2</v>
      </c>
      <c r="E47" s="1" t="s">
        <v>75</v>
      </c>
      <c r="F47" s="1" t="s">
        <v>64</v>
      </c>
      <c r="G47" s="1"/>
      <c r="H47" s="1"/>
      <c r="I47" s="15"/>
      <c r="J47" s="1"/>
      <c r="K47" s="1"/>
      <c r="L47" s="1"/>
      <c r="M47" s="8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 x14ac:dyDescent="0.2">
      <c r="A48">
        <v>0</v>
      </c>
      <c r="B48" s="1" t="s">
        <v>94</v>
      </c>
      <c r="C48" s="1" t="s">
        <v>74</v>
      </c>
      <c r="D48" s="1" t="s">
        <v>3</v>
      </c>
      <c r="E48" s="1" t="s">
        <v>78</v>
      </c>
      <c r="F48" s="1" t="s">
        <v>64</v>
      </c>
      <c r="G48" s="1"/>
      <c r="H48" s="1"/>
      <c r="I48" s="7" t="s">
        <v>49</v>
      </c>
      <c r="J48" s="1">
        <f>COUNTIFS(C4:C86,"OTD",E4:E86,"JUMPER",F4:F86,"MADE")</f>
        <v>3</v>
      </c>
      <c r="K48" s="1"/>
      <c r="L48" s="1" t="s">
        <v>50</v>
      </c>
      <c r="M48" s="13">
        <f>J50/J32</f>
        <v>0.58620689655172409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 x14ac:dyDescent="0.2">
      <c r="A49">
        <v>1</v>
      </c>
      <c r="B49" s="1" t="s">
        <v>76</v>
      </c>
      <c r="C49" s="1" t="s">
        <v>74</v>
      </c>
      <c r="D49" s="1" t="s">
        <v>2</v>
      </c>
      <c r="E49" s="1" t="s">
        <v>75</v>
      </c>
      <c r="F49" s="1" t="s">
        <v>64</v>
      </c>
      <c r="G49" s="1"/>
      <c r="H49" s="1"/>
      <c r="I49" s="7" t="s">
        <v>51</v>
      </c>
      <c r="J49" s="1">
        <f>COUNTIFS(C4:C86,"OTD",E4:E86,"JUMPER",F4:F86,"MISSED")</f>
        <v>14</v>
      </c>
      <c r="K49" s="1"/>
      <c r="L49" s="1" t="s">
        <v>42</v>
      </c>
      <c r="M49" s="13">
        <f>J48/J50</f>
        <v>0.17647058823529413</v>
      </c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 x14ac:dyDescent="0.2">
      <c r="A50">
        <v>0</v>
      </c>
      <c r="B50" s="1" t="s">
        <v>79</v>
      </c>
      <c r="C50" s="1" t="s">
        <v>74</v>
      </c>
      <c r="D50" s="1" t="s">
        <v>3</v>
      </c>
      <c r="E50" s="1" t="s">
        <v>78</v>
      </c>
      <c r="F50" s="1" t="s">
        <v>64</v>
      </c>
      <c r="G50" s="1"/>
      <c r="H50" s="1"/>
      <c r="I50" s="9" t="s">
        <v>52</v>
      </c>
      <c r="J50" s="10">
        <f>J48+J49</f>
        <v>17</v>
      </c>
      <c r="K50" s="10"/>
      <c r="L50" s="10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 x14ac:dyDescent="0.2">
      <c r="A51">
        <v>0</v>
      </c>
      <c r="B51" s="1" t="s">
        <v>76</v>
      </c>
      <c r="C51" s="1" t="s">
        <v>77</v>
      </c>
      <c r="D51" s="1" t="s">
        <v>2</v>
      </c>
      <c r="E51" s="1" t="s">
        <v>75</v>
      </c>
      <c r="F51" s="1" t="s">
        <v>65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 x14ac:dyDescent="0.2">
      <c r="A52">
        <v>1</v>
      </c>
      <c r="B52" s="1" t="s">
        <v>73</v>
      </c>
      <c r="C52" s="1" t="s">
        <v>77</v>
      </c>
      <c r="D52" s="1" t="s">
        <v>2</v>
      </c>
      <c r="E52" s="1" t="s">
        <v>75</v>
      </c>
      <c r="F52" s="1" t="s">
        <v>65</v>
      </c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 x14ac:dyDescent="0.2">
      <c r="A53">
        <v>0</v>
      </c>
      <c r="B53" s="1" t="s">
        <v>73</v>
      </c>
      <c r="C53" s="1" t="s">
        <v>77</v>
      </c>
      <c r="D53" s="1" t="s">
        <v>2</v>
      </c>
      <c r="E53" s="1" t="s">
        <v>75</v>
      </c>
      <c r="F53" s="1" t="s">
        <v>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 x14ac:dyDescent="0.2">
      <c r="A54">
        <v>1</v>
      </c>
      <c r="B54" s="1" t="s">
        <v>73</v>
      </c>
      <c r="C54" s="1" t="s">
        <v>77</v>
      </c>
      <c r="D54" s="1" t="s">
        <v>2</v>
      </c>
      <c r="E54" s="1" t="s">
        <v>75</v>
      </c>
      <c r="F54" s="1" t="s">
        <v>64</v>
      </c>
      <c r="G54" s="1"/>
      <c r="I54" s="1"/>
      <c r="J54" s="2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 x14ac:dyDescent="0.2">
      <c r="A55">
        <v>1</v>
      </c>
      <c r="B55" s="1" t="s">
        <v>94</v>
      </c>
      <c r="C55" s="1" t="s">
        <v>77</v>
      </c>
      <c r="D55" s="1" t="s">
        <v>2</v>
      </c>
      <c r="E55" s="1" t="s">
        <v>75</v>
      </c>
      <c r="F55" s="1" t="s">
        <v>65</v>
      </c>
      <c r="G55" s="1"/>
      <c r="I55" s="1"/>
      <c r="J55" s="2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 x14ac:dyDescent="0.2">
      <c r="A56">
        <v>1</v>
      </c>
      <c r="B56" s="1" t="s">
        <v>79</v>
      </c>
      <c r="C56" s="1" t="s">
        <v>77</v>
      </c>
      <c r="D56" s="1" t="s">
        <v>2</v>
      </c>
      <c r="E56" s="1" t="s">
        <v>78</v>
      </c>
      <c r="F56" s="1" t="s">
        <v>64</v>
      </c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 x14ac:dyDescent="0.2">
      <c r="A57">
        <v>0</v>
      </c>
      <c r="B57" s="1" t="s">
        <v>94</v>
      </c>
      <c r="C57" s="1" t="s">
        <v>74</v>
      </c>
      <c r="D57" s="1" t="s">
        <v>3</v>
      </c>
      <c r="E57" s="1" t="s">
        <v>78</v>
      </c>
      <c r="F57" s="1" t="s">
        <v>65</v>
      </c>
      <c r="G57" s="1"/>
      <c r="I57" s="1"/>
      <c r="J57" s="2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 x14ac:dyDescent="0.2">
      <c r="A58">
        <v>1</v>
      </c>
      <c r="B58" s="1" t="s">
        <v>73</v>
      </c>
      <c r="C58" s="1" t="s">
        <v>74</v>
      </c>
      <c r="D58" s="1" t="s">
        <v>2</v>
      </c>
      <c r="E58" s="1" t="s">
        <v>75</v>
      </c>
      <c r="F58" s="1" t="s">
        <v>64</v>
      </c>
      <c r="G58" s="1"/>
      <c r="I58" s="1"/>
      <c r="J58" s="2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 x14ac:dyDescent="0.2">
      <c r="A59">
        <v>2</v>
      </c>
      <c r="B59" s="1" t="s">
        <v>79</v>
      </c>
      <c r="C59" s="1" t="s">
        <v>74</v>
      </c>
      <c r="D59" s="1" t="s">
        <v>2</v>
      </c>
      <c r="E59" s="1" t="s">
        <v>75</v>
      </c>
      <c r="F59" s="1" t="s">
        <v>64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 x14ac:dyDescent="0.2">
      <c r="A60">
        <v>2</v>
      </c>
      <c r="B60" s="1" t="s">
        <v>84</v>
      </c>
      <c r="C60" s="1" t="s">
        <v>77</v>
      </c>
      <c r="D60" s="1" t="s">
        <v>2</v>
      </c>
      <c r="E60" s="1" t="s">
        <v>75</v>
      </c>
      <c r="F60" s="1" t="s">
        <v>64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 x14ac:dyDescent="0.2">
      <c r="A61">
        <v>2</v>
      </c>
      <c r="B61" s="1" t="s">
        <v>94</v>
      </c>
      <c r="C61" s="1" t="s">
        <v>74</v>
      </c>
      <c r="D61" s="1" t="s">
        <v>3</v>
      </c>
      <c r="E61" s="1" t="s">
        <v>78</v>
      </c>
      <c r="F61" s="1" t="s">
        <v>64</v>
      </c>
      <c r="G61" s="1"/>
      <c r="H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 x14ac:dyDescent="0.2">
      <c r="A62">
        <v>2</v>
      </c>
      <c r="B62" s="1" t="s">
        <v>84</v>
      </c>
      <c r="C62" s="1" t="s">
        <v>77</v>
      </c>
      <c r="D62" s="1" t="s">
        <v>3</v>
      </c>
      <c r="E62" s="1" t="s">
        <v>78</v>
      </c>
      <c r="F62" s="1" t="s">
        <v>65</v>
      </c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 x14ac:dyDescent="0.2">
      <c r="A63">
        <v>1</v>
      </c>
      <c r="B63" s="1" t="s">
        <v>76</v>
      </c>
      <c r="C63" s="1" t="s">
        <v>77</v>
      </c>
      <c r="D63" s="1" t="s">
        <v>2</v>
      </c>
      <c r="E63" s="1" t="s">
        <v>75</v>
      </c>
      <c r="F63" s="1" t="s">
        <v>64</v>
      </c>
      <c r="G63" s="1"/>
      <c r="I63" s="1"/>
      <c r="J63" s="1"/>
      <c r="K63" s="1"/>
      <c r="L63" s="26"/>
      <c r="M63" s="26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 x14ac:dyDescent="0.2">
      <c r="A64">
        <v>0</v>
      </c>
      <c r="B64" s="1" t="s">
        <v>94</v>
      </c>
      <c r="C64" s="1" t="s">
        <v>77</v>
      </c>
      <c r="D64" s="1" t="s">
        <v>2</v>
      </c>
      <c r="E64" s="1" t="s">
        <v>78</v>
      </c>
      <c r="F64" s="1" t="s">
        <v>64</v>
      </c>
      <c r="G64" s="1"/>
      <c r="I64" s="1"/>
      <c r="J64" s="1"/>
      <c r="K64" s="1"/>
      <c r="L64" s="26"/>
      <c r="M64" s="26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 x14ac:dyDescent="0.2">
      <c r="A65">
        <v>0</v>
      </c>
      <c r="B65" s="1" t="s">
        <v>76</v>
      </c>
      <c r="C65" s="1" t="s">
        <v>77</v>
      </c>
      <c r="D65" s="1" t="s">
        <v>3</v>
      </c>
      <c r="E65" s="1" t="s">
        <v>78</v>
      </c>
      <c r="F65" s="1" t="s">
        <v>64</v>
      </c>
      <c r="G65" s="1"/>
      <c r="I65" s="1"/>
      <c r="J65" s="1"/>
      <c r="K65" s="1"/>
      <c r="L65" s="26"/>
      <c r="M65" s="26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 x14ac:dyDescent="0.2">
      <c r="A66">
        <v>0</v>
      </c>
      <c r="B66" s="1" t="s">
        <v>79</v>
      </c>
      <c r="C66" s="1" t="s">
        <v>77</v>
      </c>
      <c r="D66" s="1" t="s">
        <v>3</v>
      </c>
      <c r="E66" s="1" t="s">
        <v>78</v>
      </c>
      <c r="F66" s="1" t="s">
        <v>64</v>
      </c>
      <c r="G66" s="1"/>
      <c r="I66" s="27"/>
      <c r="J66" s="1"/>
      <c r="K66" s="1"/>
      <c r="L66" s="26"/>
      <c r="M66" s="26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 x14ac:dyDescent="0.2">
      <c r="A67">
        <v>1</v>
      </c>
      <c r="B67" s="1" t="s">
        <v>85</v>
      </c>
      <c r="C67" s="1" t="s">
        <v>77</v>
      </c>
      <c r="D67" s="1" t="s">
        <v>3</v>
      </c>
      <c r="E67" s="1" t="s">
        <v>78</v>
      </c>
      <c r="F67" s="1" t="s">
        <v>64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 x14ac:dyDescent="0.2">
      <c r="A68">
        <v>2</v>
      </c>
      <c r="B68" s="1" t="s">
        <v>84</v>
      </c>
      <c r="C68" s="1" t="s">
        <v>74</v>
      </c>
      <c r="D68" s="1" t="s">
        <v>2</v>
      </c>
      <c r="E68" s="1" t="s">
        <v>75</v>
      </c>
      <c r="F68" s="1" t="s">
        <v>65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 x14ac:dyDescent="0.2">
      <c r="A69">
        <v>1</v>
      </c>
      <c r="B69" s="1" t="s">
        <v>84</v>
      </c>
      <c r="C69" s="1" t="s">
        <v>74</v>
      </c>
      <c r="D69" s="1" t="s">
        <v>2</v>
      </c>
      <c r="E69" s="1" t="s">
        <v>75</v>
      </c>
      <c r="F69" s="1" t="s">
        <v>65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2.7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2.7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2.7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2.7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2.7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2.7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2.7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2.7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2.7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2.7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2.7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2.7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2.7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2.7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2.7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2.7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2.7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2.7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2.7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2.7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2.7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2.7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2.7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2.7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2.7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2.7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2.7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2.7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2.7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2.7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2.7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2.7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2.7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2.7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2.7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2.7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2.7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2.7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2.7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2.7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2.7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2.7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2.7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2.7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2.7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2.7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2.7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2.7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2.7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2.7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2.7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2.7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2.7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2.7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2.7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2.7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2.7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2.7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2.7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2.7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2.7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2.7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2.7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2.7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2.7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2.7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2.7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2.7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2.7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2.7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2.7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2.7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2.7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2.7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2.7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2.7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2.7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2.7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2.7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2.7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2.7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2.7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2.7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2.7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2.7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2.7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2.7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2.7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2.7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2.7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2.7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2.7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2.7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2.7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2.7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2.7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2.7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2.7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2.7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2.7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2.7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2.7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2.7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2.7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2.7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2.7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2.7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2.7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2.7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2.7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2.7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2.7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2.7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2.7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2.7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2.7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2.7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2.7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2.7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2.7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2.7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2.7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2.7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2.7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2.7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2.7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2.7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2.7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2.7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2.7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2.7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2.7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2.7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2.7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2.7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2.7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2.7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2.7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2.7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2.7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2.7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2.7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2.7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2.7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2.7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2.7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2.7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12.7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12.7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12.7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12.7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12.7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12.7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12.7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12.7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12.7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12.7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12.7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12.7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12.7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12.7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12.7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12.7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12.7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12.7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12.7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12.7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12.7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12.7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12.7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12.7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12.7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12.7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12.7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12.7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12.7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12.7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12.7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12.7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12.7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12.7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12.7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12.7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12.7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12.7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12.7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12.7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12.7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12.7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12.7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12.7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12.7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12.7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12.7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12.7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12.7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12.7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12.7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12.7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12.7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12.7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12.7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12.7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12.7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12.7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12.7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12.7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12.7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12.7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12.7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12.7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12.7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12.7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12.7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12.7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12.7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12.7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12.7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12.7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12.7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12.7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12.7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12.7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12.7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12.7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12.7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12.7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12.7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12.7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12.7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12.7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12.7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12.7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12.7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12.7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12.7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12.7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12.7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12.7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12.7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12.7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12.7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12.7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12.7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12.7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12.7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12.7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12.7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12.7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12.7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12.7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12.7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12.7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12.7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12.7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12.7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12.7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12.7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12.7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12.7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12.7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12.7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12.7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12.7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12.7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12.7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12.7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12.7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12.7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12.7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12.7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12.7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12.7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12.7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12.7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12.7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12.7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12.7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12.7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12.7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12.7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12.7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12.7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12.7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12.7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12.7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12.7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12.7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12.7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12.7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12.7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12.7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12.7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12.7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12.7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12.7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12.7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12.7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12.7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12.7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12.7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12.7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12.7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12.7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12.7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12.7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12.7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12.7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12.7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12.7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12.7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12.7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12.7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12.7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12.7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12.7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12.7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12.7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12.7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12.7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12.7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12.7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12.7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12.7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12.7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12.7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12.7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12.7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12.7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12.7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12.7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12.7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12.7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12.7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12.7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12.7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12.7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12.7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12.7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12.7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12.7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12.7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12.7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12.7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12.7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12.7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12.7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12.7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12.7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12.7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12.7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12.7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12.7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12.7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12.7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12.7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12.7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12.7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12.7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12.7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12.7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12.7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12.7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12.7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12.7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12.7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12.7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12.7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12.7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12.7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12.7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12.7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12.7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12.7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12.7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12.7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12.7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12.7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12.7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12.7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12.7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12.7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12.7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12.7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12.7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12.7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12.7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12.7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12.7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12.7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12.7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12.7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12.7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12.7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12.7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12.7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12.7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12.7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12.7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12.7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12.7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12.7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12.7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12.7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12.7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12.7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12.7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12.7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12.7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12.7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12.7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12.7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12.7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12.7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12.7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12.7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12.7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12.7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12.7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12.7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12.7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12.7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12.7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12.7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12.7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12.7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12.7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12.7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12.7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12.7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12.7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12.7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12.7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12.7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12.7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12.7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12.7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12.7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12.7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12.7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12.7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12.7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12.7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12.7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12.7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12.7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12.7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12.7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12.7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12.7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12.7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12.7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12.7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12.7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12.7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12.7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12.7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12.7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12.7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12.7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12.7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12.7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12.7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12.7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12.7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12.7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12.7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12.7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12.7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12.7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12.7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12.7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12.7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12.7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12.7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12.7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12.7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12.7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12.7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12.7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12.7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12.7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12.7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12.7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12.7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12.7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12.7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12.7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12.7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12.7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12.7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12.7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12.7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12.7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12.7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12.7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12.7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12.7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12.7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12.7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12.7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12.7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12.7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12.7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12.7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12.7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12.7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12.7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12.7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12.7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12.7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12.7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12.7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12.7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12.7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12.7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12.7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12.7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12.7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12.7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12.7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12.7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12.7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12.7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12.7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12.7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12.7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12.7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12.7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12.7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12.7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12.7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12.7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12.7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12.7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12.7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12.7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12.7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12.7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12.7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12.7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12.7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12.7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12.7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12.7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12.7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12.7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12.7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12.7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12.7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12.7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12.7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12.7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12.7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12.7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12.7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12.7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12.7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12.7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12.7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12.7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12.7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12.7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12.7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12.7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12.7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12.7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12.7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12.7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12.7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12.7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12.7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12.7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12.7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12.7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12.7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12.7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12.7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12.7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12.7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12.7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12.7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12.7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12.7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12.7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12.7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12.7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12.7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12.7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12.7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12.7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12.7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12.7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12.7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12.7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12.7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12.7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12.7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12.7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12.7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12.7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12.7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12.7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12.7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12.7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12.7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12.7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12.7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12.7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12.7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12.7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12.7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12.7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12.7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12.7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12.7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12.7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12.7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12.7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12.7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12.7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12.7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12.7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12.7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12.7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12.7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12.7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12.7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12.7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12.7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12.7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12.7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12.7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12.7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12.7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12.7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12.7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12.7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12.7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12.7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12.7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12.7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12.7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12.7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12.7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12.7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12.7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12.7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12.7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12.7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12.7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12.7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12.7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12.7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12.7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12.7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12.7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12.7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12.7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12.7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12.7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12.7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12.7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12.7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12.7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12.7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12.7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12.7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12.7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12.7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12.7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12.7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12.7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12.7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12.7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12.7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12.7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12.7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12.7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12.7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12.7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12.7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12.7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12.7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12.7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12.7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12.7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12.7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12.7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12.7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12.7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12.7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12.7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12.7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12.7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12.7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12.7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12.7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12.7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12.7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12.7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12.7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12.7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12.7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12.7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12.7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12.7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12.7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12.7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12.7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12.7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12.7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12.7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12.7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12.7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12.7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12.7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12.7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12.7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12.7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12.7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12.7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12.7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12.7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12.7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12.7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12.7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12.7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12.7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12.7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12.7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12.7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12.7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12.7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12.7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12.7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12.7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12.7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12.7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12.7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12.7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12.7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12.7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12.7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12.7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12.7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12.7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12.7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12.7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12.7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12.7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12.7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12.7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12.7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12.7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12.7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12.7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12.7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12.7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12.7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12.7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12.7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12.7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12.7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12.7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12.7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12.7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12.7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12.7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12.75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12.75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12.75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12.75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12.75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12.75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12.75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12.75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12.75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12.75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12.75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12.75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12.75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12.75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12.75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12.75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12.75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12.75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12.75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12.75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12.75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12.75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12.75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12.75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12.75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12.75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12.75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12.75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12.75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12.75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12.75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12.75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12.75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12.75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12.75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12.75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12.75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12.75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12.75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12.75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12.75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12.75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12.75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12.75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12.75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12.75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12.75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12.75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12.75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12.75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12.75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12.75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12.75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12.75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12.75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12.75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12.75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12.75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12.75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12.75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12.75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12.75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12.75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12.75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12.75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12.75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12.75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12.75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12.75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12.75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12.75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12.75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12.75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12.75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12.75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12.75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12.75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12.75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12.75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12.75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12.75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12.75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12.75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12.75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12.75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12.75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12.75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12.75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12.75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12.75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12.75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12.75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12.75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12.75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12.75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12.75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12.75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12.75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12.75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12.75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12.75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12.75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12.75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12.75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12.75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12.75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12.75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12.75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12.75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12.75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12.75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12.75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12.75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12.75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12.75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12.75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12.75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12.75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12.75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12.75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12.75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12.75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12.75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12.75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12.75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12.75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12.75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12.75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12.75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12.75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12.75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12.75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12.75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12.75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12.75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12.75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12.75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12.75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12.75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12.75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12.75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12.75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2:23" ht="12.75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2:23" ht="12.75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2:23" ht="12.75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2:23" ht="12.75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2:23" ht="12.75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2:23" ht="12.75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2:23" ht="15.75" customHeight="1" x14ac:dyDescent="0.2">
      <c r="H998" s="1"/>
      <c r="I998" s="1"/>
      <c r="J998" s="1"/>
      <c r="K998" s="1"/>
      <c r="L998" s="1"/>
      <c r="M998" s="1"/>
    </row>
  </sheetData>
  <autoFilter ref="B3:F64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8075-D508-42FA-B533-F454EE5A72D9}">
  <sheetPr>
    <outlinePr summaryBelow="0" summaryRight="0"/>
  </sheetPr>
  <dimension ref="A1:W998"/>
  <sheetViews>
    <sheetView tabSelected="1" workbookViewId="0">
      <pane ySplit="3" topLeftCell="A22" activePane="bottomLeft" state="frozen"/>
      <selection pane="bottomLeft" activeCell="J49" sqref="J49"/>
    </sheetView>
  </sheetViews>
  <sheetFormatPr defaultColWidth="12.7109375" defaultRowHeight="15.75" customHeight="1" x14ac:dyDescent="0.2"/>
  <cols>
    <col min="2" max="2" width="24.28515625" customWidth="1"/>
    <col min="3" max="3" width="15.28515625" customWidth="1"/>
    <col min="4" max="4" width="11.28515625" bestFit="1" customWidth="1"/>
    <col min="5" max="5" width="17.140625" bestFit="1" customWidth="1"/>
    <col min="6" max="6" width="16.7109375" bestFit="1" customWidth="1"/>
    <col min="7" max="7" width="10.28515625" customWidth="1"/>
    <col min="8" max="8" width="20.85546875" bestFit="1" customWidth="1"/>
    <col min="9" max="9" width="23.28515625" bestFit="1" customWidth="1"/>
    <col min="11" max="11" width="13.85546875" bestFit="1" customWidth="1"/>
    <col min="12" max="12" width="17.28515625" bestFit="1" customWidth="1"/>
  </cols>
  <sheetData>
    <row r="1" spans="1:23" ht="15.75" customHeight="1" x14ac:dyDescent="0.2">
      <c r="B1" s="1"/>
      <c r="C1" s="1"/>
      <c r="D1" s="1"/>
      <c r="E1" s="1"/>
      <c r="F1" s="1"/>
      <c r="G1" s="1"/>
      <c r="H1" s="1">
        <f>K13+K17+K21</f>
        <v>76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t="s">
        <v>93</v>
      </c>
      <c r="B3" s="2" t="s">
        <v>0</v>
      </c>
      <c r="C3" s="2" t="s">
        <v>69</v>
      </c>
      <c r="D3" s="2" t="s">
        <v>1</v>
      </c>
      <c r="E3" s="2" t="s">
        <v>70</v>
      </c>
      <c r="F3" s="2" t="s">
        <v>71</v>
      </c>
      <c r="G3" s="1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>
        <v>0</v>
      </c>
      <c r="B4" s="1" t="s">
        <v>76</v>
      </c>
      <c r="C4" s="1" t="s">
        <v>77</v>
      </c>
      <c r="D4" s="1" t="s">
        <v>2</v>
      </c>
      <c r="E4" s="1" t="s">
        <v>75</v>
      </c>
      <c r="F4" s="1" t="s">
        <v>64</v>
      </c>
      <c r="G4" s="1"/>
      <c r="H4" s="1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>
        <v>1</v>
      </c>
      <c r="B5" s="1" t="s">
        <v>76</v>
      </c>
      <c r="C5" s="1" t="s">
        <v>77</v>
      </c>
      <c r="D5" s="1" t="s">
        <v>2</v>
      </c>
      <c r="E5" s="1" t="s">
        <v>75</v>
      </c>
      <c r="F5" s="1" t="s">
        <v>64</v>
      </c>
      <c r="G5" s="1"/>
      <c r="H5" s="1"/>
      <c r="I5" s="4" t="s">
        <v>5</v>
      </c>
      <c r="J5" s="5">
        <f>COUNTIF(F4:F200,"Made")</f>
        <v>36</v>
      </c>
      <c r="K5" s="5"/>
      <c r="L5" s="5" t="s">
        <v>6</v>
      </c>
      <c r="M5" s="6">
        <f>J5/J7</f>
        <v>0.48648648648648651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>
        <v>2</v>
      </c>
      <c r="B6" s="1" t="s">
        <v>87</v>
      </c>
      <c r="C6" s="1" t="s">
        <v>74</v>
      </c>
      <c r="D6" s="1" t="s">
        <v>2</v>
      </c>
      <c r="E6" s="1" t="s">
        <v>75</v>
      </c>
      <c r="F6" s="1" t="s">
        <v>65</v>
      </c>
      <c r="G6" s="1"/>
      <c r="H6" s="1"/>
      <c r="I6" s="7" t="s">
        <v>7</v>
      </c>
      <c r="J6" s="1">
        <f>COUNTIF(F4:F200,"missed")</f>
        <v>38</v>
      </c>
      <c r="K6" s="1"/>
      <c r="L6" s="1"/>
      <c r="M6" s="8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>
        <v>1</v>
      </c>
      <c r="B7" s="1" t="s">
        <v>94</v>
      </c>
      <c r="C7" s="1" t="s">
        <v>74</v>
      </c>
      <c r="D7" s="1" t="s">
        <v>2</v>
      </c>
      <c r="E7" s="1" t="s">
        <v>75</v>
      </c>
      <c r="F7" s="1" t="s">
        <v>65</v>
      </c>
      <c r="G7" s="1"/>
      <c r="H7" s="1"/>
      <c r="I7" s="9" t="s">
        <v>8</v>
      </c>
      <c r="J7" s="10">
        <f>J5+J6</f>
        <v>74</v>
      </c>
      <c r="K7" s="10"/>
      <c r="L7" s="10"/>
      <c r="M7" s="1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>
        <v>0</v>
      </c>
      <c r="B8" s="1" t="s">
        <v>73</v>
      </c>
      <c r="C8" s="1" t="s">
        <v>77</v>
      </c>
      <c r="D8" s="1" t="s">
        <v>2</v>
      </c>
      <c r="E8" s="1" t="s">
        <v>75</v>
      </c>
      <c r="F8" s="1" t="s">
        <v>65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>
        <v>1</v>
      </c>
      <c r="B9" s="1" t="s">
        <v>79</v>
      </c>
      <c r="C9" s="1" t="s">
        <v>77</v>
      </c>
      <c r="D9" s="1" t="s">
        <v>2</v>
      </c>
      <c r="E9" s="1" t="s">
        <v>75</v>
      </c>
      <c r="F9" s="1" t="s">
        <v>64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>
        <v>1</v>
      </c>
      <c r="B10" s="1" t="s">
        <v>83</v>
      </c>
      <c r="C10" s="1" t="s">
        <v>77</v>
      </c>
      <c r="D10" s="1" t="s">
        <v>2</v>
      </c>
      <c r="E10" s="1" t="s">
        <v>75</v>
      </c>
      <c r="F10" s="1" t="s">
        <v>64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>
        <v>1</v>
      </c>
      <c r="B11" s="1" t="s">
        <v>84</v>
      </c>
      <c r="C11" s="1" t="s">
        <v>77</v>
      </c>
      <c r="D11" s="1" t="s">
        <v>2</v>
      </c>
      <c r="E11" s="1" t="s">
        <v>75</v>
      </c>
      <c r="F11" s="1" t="s">
        <v>65</v>
      </c>
      <c r="G11" s="1"/>
      <c r="H11" s="1"/>
      <c r="I11" s="1"/>
      <c r="J11" s="1"/>
      <c r="K11" s="2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2">
      <c r="A12">
        <v>0</v>
      </c>
      <c r="B12" s="1" t="s">
        <v>83</v>
      </c>
      <c r="C12" s="1" t="s">
        <v>74</v>
      </c>
      <c r="D12" s="1" t="s">
        <v>3</v>
      </c>
      <c r="E12" s="1" t="s">
        <v>78</v>
      </c>
      <c r="F12" s="1" t="s">
        <v>64</v>
      </c>
      <c r="G12" s="1"/>
      <c r="H12" s="1" t="s">
        <v>2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>
        <v>1</v>
      </c>
      <c r="B13" s="1" t="s">
        <v>94</v>
      </c>
      <c r="C13" s="1" t="s">
        <v>77</v>
      </c>
      <c r="D13" s="1" t="s">
        <v>2</v>
      </c>
      <c r="E13" s="1" t="s">
        <v>78</v>
      </c>
      <c r="F13" s="1" t="s">
        <v>65</v>
      </c>
      <c r="G13" s="1"/>
      <c r="H13" s="1"/>
      <c r="I13" s="4" t="s">
        <v>12</v>
      </c>
      <c r="J13" s="5">
        <f>COUNTIFS(D4:D100,"2PT",F4:F100,"Made")</f>
        <v>32</v>
      </c>
      <c r="K13" s="5">
        <f>J13*2</f>
        <v>64</v>
      </c>
      <c r="L13" s="5" t="s">
        <v>13</v>
      </c>
      <c r="M13" s="6">
        <f>J13/J15</f>
        <v>0.5714285714285714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>
        <v>2</v>
      </c>
      <c r="B14" s="1" t="s">
        <v>79</v>
      </c>
      <c r="C14" s="1" t="s">
        <v>74</v>
      </c>
      <c r="D14" s="1" t="s">
        <v>3</v>
      </c>
      <c r="E14" s="1" t="s">
        <v>78</v>
      </c>
      <c r="F14" s="1" t="s">
        <v>64</v>
      </c>
      <c r="G14" s="1"/>
      <c r="H14" s="1"/>
      <c r="I14" s="7" t="s">
        <v>14</v>
      </c>
      <c r="J14" s="1">
        <f>COUNTIFS(D4:D100,"2PT",F4:F100,"Missed")</f>
        <v>24</v>
      </c>
      <c r="K14" s="1"/>
      <c r="L14" s="1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>
        <v>1</v>
      </c>
      <c r="B15" s="1" t="s">
        <v>84</v>
      </c>
      <c r="C15" s="1" t="s">
        <v>77</v>
      </c>
      <c r="D15" s="1" t="s">
        <v>2</v>
      </c>
      <c r="E15" s="1" t="s">
        <v>75</v>
      </c>
      <c r="F15" s="1" t="s">
        <v>64</v>
      </c>
      <c r="G15" s="1"/>
      <c r="H15" s="1"/>
      <c r="I15" s="9" t="s">
        <v>15</v>
      </c>
      <c r="J15" s="10">
        <f>J13+J14</f>
        <v>56</v>
      </c>
      <c r="K15" s="10"/>
      <c r="L15" s="1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>
        <v>2</v>
      </c>
      <c r="B16" s="1" t="s">
        <v>83</v>
      </c>
      <c r="C16" s="1" t="s">
        <v>74</v>
      </c>
      <c r="D16" s="1" t="s">
        <v>2</v>
      </c>
      <c r="E16" s="1" t="s">
        <v>75</v>
      </c>
      <c r="F16" s="1" t="s">
        <v>65</v>
      </c>
      <c r="G16" s="1"/>
      <c r="H16" s="1" t="s">
        <v>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>
        <v>1</v>
      </c>
      <c r="B17" s="1" t="s">
        <v>84</v>
      </c>
      <c r="C17" s="1" t="s">
        <v>77</v>
      </c>
      <c r="D17" s="1" t="s">
        <v>2</v>
      </c>
      <c r="E17" s="1" t="s">
        <v>75</v>
      </c>
      <c r="F17" s="1" t="s">
        <v>65</v>
      </c>
      <c r="G17" s="1"/>
      <c r="H17" s="1"/>
      <c r="I17" s="4" t="s">
        <v>16</v>
      </c>
      <c r="J17" s="5">
        <f>COUNTIFS(D4:D100,"3PT",F4:F100,"MADE")</f>
        <v>4</v>
      </c>
      <c r="K17" s="5">
        <f>J17*3</f>
        <v>12</v>
      </c>
      <c r="L17" s="5" t="s">
        <v>17</v>
      </c>
      <c r="M17" s="6">
        <f>J17/J19</f>
        <v>0.22222222222222221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>
        <v>1</v>
      </c>
      <c r="B18" s="1" t="s">
        <v>83</v>
      </c>
      <c r="C18" s="1" t="s">
        <v>74</v>
      </c>
      <c r="D18" s="1" t="s">
        <v>2</v>
      </c>
      <c r="E18" s="1" t="s">
        <v>75</v>
      </c>
      <c r="F18" s="1" t="s">
        <v>64</v>
      </c>
      <c r="G18" s="1"/>
      <c r="H18" s="1"/>
      <c r="I18" s="7" t="s">
        <v>18</v>
      </c>
      <c r="J18" s="1">
        <f>COUNTIFS(D4:D100,"3PT",F4:F100,"MISSED")</f>
        <v>14</v>
      </c>
      <c r="K18" s="1"/>
      <c r="L18" s="1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>
        <v>1</v>
      </c>
      <c r="B19" s="1" t="s">
        <v>79</v>
      </c>
      <c r="C19" s="1" t="s">
        <v>77</v>
      </c>
      <c r="D19" s="1" t="s">
        <v>2</v>
      </c>
      <c r="E19" s="1" t="s">
        <v>75</v>
      </c>
      <c r="F19" s="1" t="s">
        <v>64</v>
      </c>
      <c r="G19" s="1"/>
      <c r="H19" s="1"/>
      <c r="I19" s="9" t="s">
        <v>19</v>
      </c>
      <c r="J19" s="10">
        <f>J17+J18</f>
        <v>18</v>
      </c>
      <c r="K19" s="10"/>
      <c r="L19" s="1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>
        <v>1</v>
      </c>
      <c r="B20" s="1" t="s">
        <v>94</v>
      </c>
      <c r="C20" s="1" t="s">
        <v>77</v>
      </c>
      <c r="D20" s="1" t="s">
        <v>2</v>
      </c>
      <c r="E20" s="1" t="s">
        <v>75</v>
      </c>
      <c r="F20" s="1" t="s">
        <v>65</v>
      </c>
      <c r="G20" s="1"/>
      <c r="H20" s="1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>
        <v>0</v>
      </c>
      <c r="B21" s="1" t="s">
        <v>82</v>
      </c>
      <c r="C21" s="1" t="s">
        <v>77</v>
      </c>
      <c r="D21" s="1" t="s">
        <v>2</v>
      </c>
      <c r="E21" s="1" t="s">
        <v>75</v>
      </c>
      <c r="F21" s="1" t="s">
        <v>64</v>
      </c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>
        <v>0</v>
      </c>
      <c r="B22" s="1" t="s">
        <v>94</v>
      </c>
      <c r="C22" s="1" t="s">
        <v>77</v>
      </c>
      <c r="D22" s="1" t="s">
        <v>3</v>
      </c>
      <c r="E22" s="1" t="s">
        <v>78</v>
      </c>
      <c r="F22" s="1" t="s">
        <v>65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>
        <v>1</v>
      </c>
      <c r="B23" s="1" t="s">
        <v>86</v>
      </c>
      <c r="C23" s="1" t="s">
        <v>74</v>
      </c>
      <c r="D23" s="1" t="s">
        <v>2</v>
      </c>
      <c r="E23" s="1" t="s">
        <v>75</v>
      </c>
      <c r="F23" s="1" t="s">
        <v>64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>
        <v>0</v>
      </c>
      <c r="B24" s="1" t="s">
        <v>82</v>
      </c>
      <c r="C24" s="1" t="s">
        <v>74</v>
      </c>
      <c r="D24" s="1" t="s">
        <v>3</v>
      </c>
      <c r="E24" s="1" t="s">
        <v>78</v>
      </c>
      <c r="F24" s="1" t="s">
        <v>64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>
        <v>1</v>
      </c>
      <c r="B25" s="1" t="s">
        <v>79</v>
      </c>
      <c r="C25" s="1" t="s">
        <v>77</v>
      </c>
      <c r="D25" s="1" t="s">
        <v>2</v>
      </c>
      <c r="E25" s="1" t="s">
        <v>75</v>
      </c>
      <c r="F25" s="1" t="s">
        <v>65</v>
      </c>
      <c r="G25" s="1"/>
      <c r="H25" s="1" t="s">
        <v>25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>
        <v>0</v>
      </c>
      <c r="B26" s="1" t="s">
        <v>94</v>
      </c>
      <c r="C26" s="1" t="s">
        <v>77</v>
      </c>
      <c r="D26" s="1" t="s">
        <v>2</v>
      </c>
      <c r="E26" s="1" t="s">
        <v>75</v>
      </c>
      <c r="F26" s="1" t="s">
        <v>64</v>
      </c>
      <c r="G26" s="1"/>
      <c r="H26" s="1"/>
      <c r="I26" s="4" t="s">
        <v>26</v>
      </c>
      <c r="J26" s="5">
        <f>COUNTIFS(E4:E100,"LAYUP",F4:F100,"MADE")</f>
        <v>31</v>
      </c>
      <c r="K26" s="5"/>
      <c r="L26" s="5" t="s">
        <v>27</v>
      </c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>
        <v>0</v>
      </c>
      <c r="B27" s="1" t="s">
        <v>83</v>
      </c>
      <c r="C27" s="1" t="s">
        <v>74</v>
      </c>
      <c r="D27" s="1" t="s">
        <v>2</v>
      </c>
      <c r="E27" s="1" t="s">
        <v>75</v>
      </c>
      <c r="F27" s="1" t="s">
        <v>64</v>
      </c>
      <c r="G27" s="1"/>
      <c r="H27" s="1"/>
      <c r="I27" s="7" t="s">
        <v>28</v>
      </c>
      <c r="J27" s="1">
        <f>COUNTIFS(E4:E100,"LAYUP",F4:F100,"MISSED")</f>
        <v>22</v>
      </c>
      <c r="K27" s="1"/>
      <c r="L27" s="1" t="s">
        <v>92</v>
      </c>
      <c r="M27" s="13">
        <f>J28/J7</f>
        <v>0.71621621621621623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>
        <v>1</v>
      </c>
      <c r="B28" s="1" t="s">
        <v>83</v>
      </c>
      <c r="C28" s="1" t="s">
        <v>77</v>
      </c>
      <c r="D28" s="1" t="s">
        <v>2</v>
      </c>
      <c r="E28" s="1" t="s">
        <v>75</v>
      </c>
      <c r="F28" s="1" t="s">
        <v>64</v>
      </c>
      <c r="G28" s="1"/>
      <c r="H28" s="1"/>
      <c r="I28" s="7" t="s">
        <v>29</v>
      </c>
      <c r="J28" s="1">
        <f>J26+J27</f>
        <v>53</v>
      </c>
      <c r="K28" s="1"/>
      <c r="L28" s="1" t="s">
        <v>91</v>
      </c>
      <c r="M28" s="13">
        <f>J32/J7</f>
        <v>0.28378378378378377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>
        <v>0</v>
      </c>
      <c r="B29" s="1" t="s">
        <v>82</v>
      </c>
      <c r="C29" s="1" t="s">
        <v>74</v>
      </c>
      <c r="D29" s="1" t="s">
        <v>3</v>
      </c>
      <c r="E29" s="1" t="s">
        <v>78</v>
      </c>
      <c r="F29" s="1" t="s">
        <v>64</v>
      </c>
      <c r="G29" s="1"/>
      <c r="H29" s="1"/>
      <c r="I29" s="7"/>
      <c r="J29" s="1"/>
      <c r="K29" s="1"/>
      <c r="L29" s="1"/>
      <c r="M29" s="8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>
        <v>0</v>
      </c>
      <c r="B30" s="1" t="s">
        <v>85</v>
      </c>
      <c r="C30" s="1" t="s">
        <v>74</v>
      </c>
      <c r="D30" s="1" t="s">
        <v>3</v>
      </c>
      <c r="E30" s="1" t="s">
        <v>78</v>
      </c>
      <c r="F30" s="1" t="s">
        <v>64</v>
      </c>
      <c r="G30" s="1"/>
      <c r="H30" s="1"/>
      <c r="I30" s="7" t="s">
        <v>30</v>
      </c>
      <c r="J30" s="1">
        <f>COUNTIFS(E4:E100,"JUMPER",F4:F100,"MADE")</f>
        <v>5</v>
      </c>
      <c r="K30" s="1"/>
      <c r="L30" s="1"/>
      <c r="M30" s="8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>
        <v>1</v>
      </c>
      <c r="B31" s="1" t="s">
        <v>84</v>
      </c>
      <c r="C31" s="1" t="s">
        <v>74</v>
      </c>
      <c r="D31" s="1" t="s">
        <v>2</v>
      </c>
      <c r="E31" s="1" t="s">
        <v>75</v>
      </c>
      <c r="F31" s="1" t="s">
        <v>64</v>
      </c>
      <c r="G31" s="1"/>
      <c r="H31" s="1"/>
      <c r="I31" s="7" t="s">
        <v>31</v>
      </c>
      <c r="J31" s="1">
        <f>COUNTIFS(E4:E100,"JUMPER",F4:F100,"MISSED")</f>
        <v>16</v>
      </c>
      <c r="K31" s="1"/>
      <c r="L31" s="1"/>
      <c r="M31" s="8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>
        <v>0</v>
      </c>
      <c r="B32" s="1" t="s">
        <v>94</v>
      </c>
      <c r="C32" s="1" t="s">
        <v>77</v>
      </c>
      <c r="D32" s="1" t="s">
        <v>2</v>
      </c>
      <c r="E32" s="1" t="s">
        <v>75</v>
      </c>
      <c r="F32" s="1" t="s">
        <v>65</v>
      </c>
      <c r="G32" s="1"/>
      <c r="H32" s="1"/>
      <c r="I32" s="9" t="s">
        <v>32</v>
      </c>
      <c r="J32" s="10">
        <f>J30+J31</f>
        <v>21</v>
      </c>
      <c r="K32" s="10"/>
      <c r="L32" s="10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>
        <v>3</v>
      </c>
      <c r="B33" s="1" t="s">
        <v>84</v>
      </c>
      <c r="C33" s="1" t="s">
        <v>77</v>
      </c>
      <c r="D33" s="1" t="s">
        <v>2</v>
      </c>
      <c r="E33" s="1" t="s">
        <v>75</v>
      </c>
      <c r="F33" s="1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>
        <v>3</v>
      </c>
      <c r="B34" s="1" t="s">
        <v>82</v>
      </c>
      <c r="C34" s="1" t="s">
        <v>74</v>
      </c>
      <c r="D34" s="1" t="s">
        <v>2</v>
      </c>
      <c r="E34" s="1" t="s">
        <v>75</v>
      </c>
      <c r="F34" s="1" t="s">
        <v>65</v>
      </c>
      <c r="G34" s="1"/>
      <c r="H34" s="1" t="s">
        <v>33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>
        <v>1</v>
      </c>
      <c r="B35" s="1" t="s">
        <v>79</v>
      </c>
      <c r="C35" s="1" t="s">
        <v>74</v>
      </c>
      <c r="D35" s="1" t="s">
        <v>2</v>
      </c>
      <c r="E35" s="1" t="s">
        <v>75</v>
      </c>
      <c r="F35" s="1" t="s">
        <v>65</v>
      </c>
      <c r="G35" s="1"/>
      <c r="H35" s="1"/>
      <c r="I35" s="4" t="s">
        <v>34</v>
      </c>
      <c r="J35" s="5">
        <f>COUNTIFS(C4:C100,"C+S",E4:E100,"LAYUP",F4:F100,"MADE")</f>
        <v>14</v>
      </c>
      <c r="K35" s="5"/>
      <c r="L35" s="5" t="s">
        <v>35</v>
      </c>
      <c r="M35" s="14">
        <f>J37/J28</f>
        <v>0.37735849056603776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>
        <v>1</v>
      </c>
      <c r="B36" s="1" t="s">
        <v>85</v>
      </c>
      <c r="C36" s="1" t="s">
        <v>77</v>
      </c>
      <c r="D36" s="1" t="s">
        <v>2</v>
      </c>
      <c r="E36" s="1" t="s">
        <v>75</v>
      </c>
      <c r="F36" s="1" t="s">
        <v>65</v>
      </c>
      <c r="G36" s="1"/>
      <c r="H36" s="1"/>
      <c r="I36" s="7" t="s">
        <v>36</v>
      </c>
      <c r="J36" s="1">
        <f>COUNTIFS(C4:C100,"C+S",E4:E100,"LAYUP",F4:F100,"MISSED")</f>
        <v>6</v>
      </c>
      <c r="K36" s="1"/>
      <c r="L36" s="1" t="s">
        <v>37</v>
      </c>
      <c r="M36" s="13">
        <f>J35/J37</f>
        <v>0.7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 x14ac:dyDescent="0.2">
      <c r="A37">
        <v>0</v>
      </c>
      <c r="B37" s="1" t="s">
        <v>83</v>
      </c>
      <c r="C37" s="1" t="s">
        <v>77</v>
      </c>
      <c r="D37" s="1" t="s">
        <v>3</v>
      </c>
      <c r="E37" s="1" t="s">
        <v>78</v>
      </c>
      <c r="F37" s="1" t="s">
        <v>64</v>
      </c>
      <c r="G37" s="1"/>
      <c r="H37" s="1"/>
      <c r="I37" s="7" t="s">
        <v>38</v>
      </c>
      <c r="J37" s="1">
        <f>J35+J36</f>
        <v>20</v>
      </c>
      <c r="K37" s="1"/>
      <c r="L37" s="1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 x14ac:dyDescent="0.2">
      <c r="A38">
        <v>0</v>
      </c>
      <c r="B38" s="1" t="s">
        <v>73</v>
      </c>
      <c r="C38" s="1" t="s">
        <v>77</v>
      </c>
      <c r="D38" s="1" t="s">
        <v>2</v>
      </c>
      <c r="E38" s="1" t="s">
        <v>75</v>
      </c>
      <c r="F38" s="1" t="s">
        <v>64</v>
      </c>
      <c r="G38" s="1"/>
      <c r="H38" s="1"/>
      <c r="I38" s="15"/>
      <c r="J38" s="1"/>
      <c r="K38" s="1"/>
      <c r="L38" s="1"/>
      <c r="M38" s="8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 x14ac:dyDescent="0.2">
      <c r="A39">
        <v>0</v>
      </c>
      <c r="B39" s="1" t="s">
        <v>73</v>
      </c>
      <c r="C39" s="1" t="s">
        <v>74</v>
      </c>
      <c r="D39" s="1" t="s">
        <v>3</v>
      </c>
      <c r="E39" s="1" t="s">
        <v>78</v>
      </c>
      <c r="F39" s="1" t="s">
        <v>64</v>
      </c>
      <c r="G39" s="1"/>
      <c r="H39" s="1"/>
      <c r="I39" s="7" t="s">
        <v>39</v>
      </c>
      <c r="J39" s="1">
        <f>COUNTIFS(C4:C100,"OTD",E4:E100,"LAYUP",F4:F100,"MADE")</f>
        <v>17</v>
      </c>
      <c r="K39" s="1"/>
      <c r="L39" s="1" t="s">
        <v>40</v>
      </c>
      <c r="M39" s="13">
        <f>J41/J28</f>
        <v>0.62264150943396224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 x14ac:dyDescent="0.2">
      <c r="A40">
        <v>1</v>
      </c>
      <c r="B40" s="1" t="s">
        <v>94</v>
      </c>
      <c r="C40" s="1" t="s">
        <v>77</v>
      </c>
      <c r="D40" s="1" t="s">
        <v>2</v>
      </c>
      <c r="E40" s="1" t="s">
        <v>75</v>
      </c>
      <c r="F40" s="1" t="s">
        <v>65</v>
      </c>
      <c r="G40" s="1"/>
      <c r="H40" s="1"/>
      <c r="I40" s="7" t="s">
        <v>41</v>
      </c>
      <c r="J40" s="1">
        <f>COUNTIFS(C4:C100,"OTD",E4:E100,"LAYUP",F4:F100,"MISSED")</f>
        <v>16</v>
      </c>
      <c r="K40" s="1"/>
      <c r="L40" s="1" t="s">
        <v>42</v>
      </c>
      <c r="M40" s="13">
        <f>J39/J41</f>
        <v>0.51515151515151514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 x14ac:dyDescent="0.2">
      <c r="A41">
        <v>1</v>
      </c>
      <c r="B41" s="1" t="s">
        <v>79</v>
      </c>
      <c r="C41" s="1" t="s">
        <v>77</v>
      </c>
      <c r="D41" s="1" t="s">
        <v>2</v>
      </c>
      <c r="E41" s="1" t="s">
        <v>78</v>
      </c>
      <c r="F41" s="1" t="s">
        <v>64</v>
      </c>
      <c r="G41" s="1"/>
      <c r="H41" s="1"/>
      <c r="I41" s="9" t="s">
        <v>43</v>
      </c>
      <c r="J41" s="10">
        <f>J39+J40</f>
        <v>33</v>
      </c>
      <c r="K41" s="10"/>
      <c r="L41" s="10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 x14ac:dyDescent="0.2">
      <c r="A42">
        <v>0</v>
      </c>
      <c r="B42" s="1" t="s">
        <v>82</v>
      </c>
      <c r="C42" s="1" t="s">
        <v>77</v>
      </c>
      <c r="D42" s="1" t="s">
        <v>2</v>
      </c>
      <c r="E42" s="1" t="s">
        <v>75</v>
      </c>
      <c r="F42" s="1" t="s">
        <v>64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 x14ac:dyDescent="0.2">
      <c r="A43">
        <v>1</v>
      </c>
      <c r="B43" s="1" t="s">
        <v>83</v>
      </c>
      <c r="C43" s="1" t="s">
        <v>77</v>
      </c>
      <c r="D43" s="1" t="s">
        <v>2</v>
      </c>
      <c r="E43" s="1" t="s">
        <v>75</v>
      </c>
      <c r="F43" s="1" t="s">
        <v>65</v>
      </c>
      <c r="G43" s="1"/>
      <c r="H43" s="1" t="s">
        <v>44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 x14ac:dyDescent="0.2">
      <c r="A44">
        <v>2</v>
      </c>
      <c r="B44" s="1" t="s">
        <v>83</v>
      </c>
      <c r="C44" s="1" t="s">
        <v>74</v>
      </c>
      <c r="D44" s="1" t="s">
        <v>2</v>
      </c>
      <c r="E44" s="1" t="s">
        <v>75</v>
      </c>
      <c r="F44" s="1" t="s">
        <v>65</v>
      </c>
      <c r="G44" s="1"/>
      <c r="H44" s="1"/>
      <c r="I44" s="4" t="s">
        <v>45</v>
      </c>
      <c r="J44" s="5">
        <f>COUNTIFS(C4:C100,"C+S",E4:E100,"JUMPER",F4:F100,"MADE")</f>
        <v>1</v>
      </c>
      <c r="K44" s="5"/>
      <c r="L44" s="5" t="s">
        <v>46</v>
      </c>
      <c r="M44" s="14">
        <f>J46/J32</f>
        <v>0.52380952380952384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 x14ac:dyDescent="0.2">
      <c r="A45">
        <v>2</v>
      </c>
      <c r="B45" s="1" t="s">
        <v>87</v>
      </c>
      <c r="C45" s="1" t="s">
        <v>74</v>
      </c>
      <c r="D45" s="1" t="s">
        <v>2</v>
      </c>
      <c r="E45" s="1" t="s">
        <v>75</v>
      </c>
      <c r="F45" s="1" t="s">
        <v>64</v>
      </c>
      <c r="G45" s="1"/>
      <c r="H45" s="1"/>
      <c r="I45" s="7" t="s">
        <v>47</v>
      </c>
      <c r="J45" s="1">
        <f>COUNTIFS(C4:C100,"C+S",E4:E100,"JUMPER",F4:F100,"MISSED")</f>
        <v>10</v>
      </c>
      <c r="K45" s="1"/>
      <c r="L45" s="1" t="s">
        <v>37</v>
      </c>
      <c r="M45" s="13">
        <f>J44/J46</f>
        <v>9.0909090909090912E-2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 x14ac:dyDescent="0.2">
      <c r="A46">
        <v>1</v>
      </c>
      <c r="B46" s="1" t="s">
        <v>94</v>
      </c>
      <c r="C46" s="1" t="s">
        <v>77</v>
      </c>
      <c r="D46" s="1" t="s">
        <v>2</v>
      </c>
      <c r="E46" s="1" t="s">
        <v>75</v>
      </c>
      <c r="F46" s="1" t="s">
        <v>65</v>
      </c>
      <c r="G46" s="1"/>
      <c r="H46" s="1"/>
      <c r="I46" s="7" t="s">
        <v>48</v>
      </c>
      <c r="J46" s="1">
        <f>J44+J45</f>
        <v>11</v>
      </c>
      <c r="K46" s="1"/>
      <c r="L46" s="1"/>
      <c r="M46" s="8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 x14ac:dyDescent="0.2">
      <c r="A47">
        <v>1</v>
      </c>
      <c r="B47" s="1" t="s">
        <v>82</v>
      </c>
      <c r="C47" s="1" t="s">
        <v>77</v>
      </c>
      <c r="D47" s="1" t="s">
        <v>2</v>
      </c>
      <c r="E47" s="1" t="s">
        <v>75</v>
      </c>
      <c r="F47" s="1" t="s">
        <v>65</v>
      </c>
      <c r="G47" s="1"/>
      <c r="H47" s="1"/>
      <c r="I47" s="15"/>
      <c r="J47" s="1"/>
      <c r="K47" s="1"/>
      <c r="L47" s="1"/>
      <c r="M47" s="8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 x14ac:dyDescent="0.2">
      <c r="A48">
        <v>1</v>
      </c>
      <c r="B48" s="1" t="s">
        <v>82</v>
      </c>
      <c r="C48" s="1" t="s">
        <v>77</v>
      </c>
      <c r="D48" s="1" t="s">
        <v>2</v>
      </c>
      <c r="E48" s="1" t="s">
        <v>75</v>
      </c>
      <c r="F48" s="1" t="s">
        <v>65</v>
      </c>
      <c r="G48" s="1"/>
      <c r="H48" s="1"/>
      <c r="I48" s="7" t="s">
        <v>49</v>
      </c>
      <c r="J48" s="1">
        <f>COUNTIFS(C4:C100,"OTD",E4:E100,"JUMPER",F4:F100,"MADE")</f>
        <v>4</v>
      </c>
      <c r="K48" s="1"/>
      <c r="L48" s="1" t="s">
        <v>50</v>
      </c>
      <c r="M48" s="13">
        <f>J50/J32</f>
        <v>0.47619047619047616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 x14ac:dyDescent="0.2">
      <c r="A49">
        <v>1</v>
      </c>
      <c r="B49" s="1" t="s">
        <v>89</v>
      </c>
      <c r="C49" s="1" t="s">
        <v>77</v>
      </c>
      <c r="D49" s="1" t="s">
        <v>2</v>
      </c>
      <c r="E49" s="1" t="s">
        <v>75</v>
      </c>
      <c r="F49" s="1" t="s">
        <v>65</v>
      </c>
      <c r="G49" s="1"/>
      <c r="H49" s="1"/>
      <c r="I49" s="7" t="s">
        <v>51</v>
      </c>
      <c r="J49" s="1">
        <f>COUNTIFS(C4:C100,"OTD",E4:E100,"JUMPER",F4:F100,"MISSED")</f>
        <v>6</v>
      </c>
      <c r="K49" s="1"/>
      <c r="L49" s="1" t="s">
        <v>42</v>
      </c>
      <c r="M49" s="13">
        <f>J48/J50</f>
        <v>0.4</v>
      </c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 x14ac:dyDescent="0.2">
      <c r="A50">
        <v>1</v>
      </c>
      <c r="B50" s="1" t="s">
        <v>84</v>
      </c>
      <c r="C50" s="1" t="s">
        <v>77</v>
      </c>
      <c r="D50" s="1" t="s">
        <v>2</v>
      </c>
      <c r="E50" s="1" t="s">
        <v>75</v>
      </c>
      <c r="F50" s="1" t="s">
        <v>65</v>
      </c>
      <c r="G50" s="1"/>
      <c r="H50" s="1"/>
      <c r="I50" s="9" t="s">
        <v>52</v>
      </c>
      <c r="J50" s="10">
        <f>J48+J49</f>
        <v>10</v>
      </c>
      <c r="K50" s="10"/>
      <c r="L50" s="10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 x14ac:dyDescent="0.2">
      <c r="A51">
        <v>0</v>
      </c>
      <c r="B51" s="1" t="s">
        <v>94</v>
      </c>
      <c r="C51" s="1" t="s">
        <v>74</v>
      </c>
      <c r="D51" s="1" t="s">
        <v>3</v>
      </c>
      <c r="E51" s="1" t="s">
        <v>78</v>
      </c>
      <c r="F51" s="1" t="s">
        <v>64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 x14ac:dyDescent="0.2">
      <c r="A52">
        <v>0</v>
      </c>
      <c r="B52" s="1" t="s">
        <v>73</v>
      </c>
      <c r="C52" s="1" t="s">
        <v>77</v>
      </c>
      <c r="D52" s="1" t="s">
        <v>2</v>
      </c>
      <c r="E52" s="1" t="s">
        <v>75</v>
      </c>
      <c r="F52" s="1" t="s">
        <v>65</v>
      </c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 x14ac:dyDescent="0.2">
      <c r="A53">
        <v>1</v>
      </c>
      <c r="B53" s="1" t="s">
        <v>82</v>
      </c>
      <c r="C53" s="1" t="s">
        <v>74</v>
      </c>
      <c r="D53" s="1" t="s">
        <v>2</v>
      </c>
      <c r="E53" s="1" t="s">
        <v>75</v>
      </c>
      <c r="F53" s="1" t="s">
        <v>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 x14ac:dyDescent="0.2">
      <c r="A54">
        <v>2</v>
      </c>
      <c r="B54" s="1" t="s">
        <v>73</v>
      </c>
      <c r="C54" s="1" t="s">
        <v>74</v>
      </c>
      <c r="D54" s="1" t="s">
        <v>2</v>
      </c>
      <c r="E54" s="1" t="s">
        <v>75</v>
      </c>
      <c r="F54" s="1" t="s">
        <v>65</v>
      </c>
      <c r="G54" s="1"/>
      <c r="I54" s="1"/>
      <c r="J54" s="2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 x14ac:dyDescent="0.2">
      <c r="A55">
        <v>1</v>
      </c>
      <c r="B55" s="1" t="s">
        <v>94</v>
      </c>
      <c r="C55" s="1" t="s">
        <v>74</v>
      </c>
      <c r="D55" s="1" t="s">
        <v>3</v>
      </c>
      <c r="E55" s="1" t="s">
        <v>78</v>
      </c>
      <c r="F55" s="1" t="s">
        <v>64</v>
      </c>
      <c r="G55" s="1"/>
      <c r="I55" s="1"/>
      <c r="J55" s="2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 x14ac:dyDescent="0.2">
      <c r="A56">
        <v>1</v>
      </c>
      <c r="B56" s="1" t="s">
        <v>94</v>
      </c>
      <c r="C56" s="1" t="s">
        <v>77</v>
      </c>
      <c r="D56" s="1" t="s">
        <v>2</v>
      </c>
      <c r="E56" s="1" t="s">
        <v>75</v>
      </c>
      <c r="F56" s="1" t="s">
        <v>65</v>
      </c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 x14ac:dyDescent="0.2">
      <c r="A57">
        <v>1</v>
      </c>
      <c r="B57" s="1" t="s">
        <v>73</v>
      </c>
      <c r="C57" s="1" t="s">
        <v>74</v>
      </c>
      <c r="D57" s="1" t="s">
        <v>2</v>
      </c>
      <c r="E57" s="1" t="s">
        <v>75</v>
      </c>
      <c r="F57" s="1" t="s">
        <v>65</v>
      </c>
      <c r="G57" s="1"/>
      <c r="I57" s="1"/>
      <c r="J57" s="2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 x14ac:dyDescent="0.2">
      <c r="A58">
        <v>1</v>
      </c>
      <c r="B58" s="1" t="s">
        <v>73</v>
      </c>
      <c r="C58" s="1" t="s">
        <v>77</v>
      </c>
      <c r="D58" s="1" t="s">
        <v>2</v>
      </c>
      <c r="E58" s="1" t="s">
        <v>75</v>
      </c>
      <c r="F58" s="1" t="s">
        <v>64</v>
      </c>
      <c r="G58" s="1"/>
      <c r="I58" s="1"/>
      <c r="J58" s="2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 x14ac:dyDescent="0.2">
      <c r="A59">
        <v>2</v>
      </c>
      <c r="B59" s="1" t="s">
        <v>84</v>
      </c>
      <c r="C59" s="1" t="s">
        <v>74</v>
      </c>
      <c r="D59" s="1" t="s">
        <v>2</v>
      </c>
      <c r="E59" s="1" t="s">
        <v>75</v>
      </c>
      <c r="F59" s="1" t="s">
        <v>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 x14ac:dyDescent="0.2">
      <c r="A60">
        <v>1</v>
      </c>
      <c r="B60" s="1" t="s">
        <v>82</v>
      </c>
      <c r="C60" s="1" t="s">
        <v>77</v>
      </c>
      <c r="D60" s="1" t="s">
        <v>2</v>
      </c>
      <c r="E60" s="1" t="s">
        <v>75</v>
      </c>
      <c r="F60" s="1" t="s">
        <v>64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 x14ac:dyDescent="0.2">
      <c r="A61">
        <v>1</v>
      </c>
      <c r="B61" s="1" t="s">
        <v>73</v>
      </c>
      <c r="C61" s="1" t="s">
        <v>74</v>
      </c>
      <c r="D61" s="1" t="s">
        <v>2</v>
      </c>
      <c r="E61" s="1" t="s">
        <v>75</v>
      </c>
      <c r="F61" s="1" t="s">
        <v>65</v>
      </c>
      <c r="G61" s="1"/>
      <c r="H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 x14ac:dyDescent="0.2">
      <c r="A62">
        <v>2</v>
      </c>
      <c r="B62" s="1" t="s">
        <v>87</v>
      </c>
      <c r="C62" s="1" t="s">
        <v>74</v>
      </c>
      <c r="D62" s="1" t="s">
        <v>2</v>
      </c>
      <c r="E62" s="1" t="s">
        <v>75</v>
      </c>
      <c r="F62" s="1" t="s">
        <v>64</v>
      </c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 x14ac:dyDescent="0.2">
      <c r="A63">
        <v>3</v>
      </c>
      <c r="B63" s="1" t="s">
        <v>73</v>
      </c>
      <c r="C63" s="1" t="s">
        <v>74</v>
      </c>
      <c r="D63" s="1" t="s">
        <v>2</v>
      </c>
      <c r="E63" s="1" t="s">
        <v>75</v>
      </c>
      <c r="F63" s="1" t="s">
        <v>65</v>
      </c>
      <c r="G63" s="1"/>
      <c r="I63" s="1"/>
      <c r="J63" s="1"/>
      <c r="K63" s="1"/>
      <c r="L63" s="26"/>
      <c r="M63" s="26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 x14ac:dyDescent="0.2">
      <c r="A64">
        <v>1</v>
      </c>
      <c r="B64" s="1" t="s">
        <v>87</v>
      </c>
      <c r="C64" s="1" t="s">
        <v>74</v>
      </c>
      <c r="D64" s="1" t="s">
        <v>2</v>
      </c>
      <c r="E64" s="1" t="s">
        <v>75</v>
      </c>
      <c r="F64" s="1" t="s">
        <v>65</v>
      </c>
      <c r="G64" s="1"/>
      <c r="I64" s="1"/>
      <c r="J64" s="1"/>
      <c r="K64" s="1"/>
      <c r="L64" s="26"/>
      <c r="M64" s="26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 x14ac:dyDescent="0.2">
      <c r="A65">
        <v>0</v>
      </c>
      <c r="B65" s="1" t="s">
        <v>87</v>
      </c>
      <c r="C65" s="1" t="s">
        <v>74</v>
      </c>
      <c r="D65" s="1" t="s">
        <v>3</v>
      </c>
      <c r="E65" s="1" t="s">
        <v>78</v>
      </c>
      <c r="F65" s="1" t="s">
        <v>64</v>
      </c>
      <c r="G65" s="1"/>
      <c r="I65" s="1"/>
      <c r="J65" s="1"/>
      <c r="K65" s="1"/>
      <c r="L65" s="26"/>
      <c r="M65" s="26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 x14ac:dyDescent="0.2">
      <c r="A66">
        <v>1</v>
      </c>
      <c r="B66" s="1" t="s">
        <v>79</v>
      </c>
      <c r="C66" s="1" t="s">
        <v>74</v>
      </c>
      <c r="D66" s="1" t="s">
        <v>2</v>
      </c>
      <c r="E66" s="1" t="s">
        <v>75</v>
      </c>
      <c r="F66" s="1" t="s">
        <v>65</v>
      </c>
      <c r="G66" s="1"/>
      <c r="I66" s="27"/>
      <c r="J66" s="1"/>
      <c r="K66" s="1"/>
      <c r="L66" s="26"/>
      <c r="M66" s="26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 x14ac:dyDescent="0.2">
      <c r="A67">
        <v>0</v>
      </c>
      <c r="B67" s="1" t="s">
        <v>94</v>
      </c>
      <c r="C67" s="1" t="s">
        <v>77</v>
      </c>
      <c r="D67" s="1" t="s">
        <v>3</v>
      </c>
      <c r="E67" s="1" t="s">
        <v>78</v>
      </c>
      <c r="F67" s="1" t="s">
        <v>65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 x14ac:dyDescent="0.2">
      <c r="A68">
        <v>0</v>
      </c>
      <c r="B68" s="1" t="s">
        <v>94</v>
      </c>
      <c r="C68" s="1" t="s">
        <v>77</v>
      </c>
      <c r="D68" s="1" t="s">
        <v>2</v>
      </c>
      <c r="E68" s="1" t="s">
        <v>78</v>
      </c>
      <c r="F68" s="1" t="s">
        <v>64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 x14ac:dyDescent="0.2">
      <c r="A69">
        <v>0</v>
      </c>
      <c r="B69" s="1" t="s">
        <v>94</v>
      </c>
      <c r="C69" s="1" t="s">
        <v>74</v>
      </c>
      <c r="D69" s="1" t="s">
        <v>3</v>
      </c>
      <c r="E69" s="1" t="s">
        <v>78</v>
      </c>
      <c r="F69" s="1" t="s">
        <v>65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 x14ac:dyDescent="0.2">
      <c r="A70">
        <v>0</v>
      </c>
      <c r="B70" s="1" t="s">
        <v>73</v>
      </c>
      <c r="C70" s="1" t="s">
        <v>77</v>
      </c>
      <c r="D70" s="1" t="s">
        <v>2</v>
      </c>
      <c r="E70" s="1" t="s">
        <v>75</v>
      </c>
      <c r="F70" s="1" t="s">
        <v>64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 x14ac:dyDescent="0.2">
      <c r="A71">
        <v>0</v>
      </c>
      <c r="B71" s="1" t="s">
        <v>79</v>
      </c>
      <c r="C71" s="1" t="s">
        <v>77</v>
      </c>
      <c r="D71" s="1" t="s">
        <v>2</v>
      </c>
      <c r="E71" s="1" t="s">
        <v>75</v>
      </c>
      <c r="F71" s="1" t="s">
        <v>64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 x14ac:dyDescent="0.2">
      <c r="A72">
        <v>0</v>
      </c>
      <c r="B72" s="1" t="s">
        <v>94</v>
      </c>
      <c r="C72" s="1" t="s">
        <v>77</v>
      </c>
      <c r="D72" s="1" t="s">
        <v>3</v>
      </c>
      <c r="E72" s="1" t="s">
        <v>78</v>
      </c>
      <c r="F72" s="1" t="s">
        <v>65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 x14ac:dyDescent="0.2">
      <c r="A73">
        <v>0</v>
      </c>
      <c r="B73" s="1" t="s">
        <v>94</v>
      </c>
      <c r="C73" s="1" t="s">
        <v>77</v>
      </c>
      <c r="D73" s="1" t="s">
        <v>3</v>
      </c>
      <c r="E73" s="1" t="s">
        <v>78</v>
      </c>
      <c r="F73" s="1" t="s">
        <v>64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 x14ac:dyDescent="0.2">
      <c r="A74">
        <v>1</v>
      </c>
      <c r="B74" s="1" t="s">
        <v>79</v>
      </c>
      <c r="C74" s="1" t="s">
        <v>77</v>
      </c>
      <c r="D74" s="1" t="s">
        <v>2</v>
      </c>
      <c r="E74" s="1" t="s">
        <v>75</v>
      </c>
      <c r="F74" s="1" t="s">
        <v>65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 x14ac:dyDescent="0.2">
      <c r="A75">
        <v>0</v>
      </c>
      <c r="B75" s="1" t="s">
        <v>94</v>
      </c>
      <c r="C75" s="1" t="s">
        <v>77</v>
      </c>
      <c r="D75" s="1" t="s">
        <v>3</v>
      </c>
      <c r="E75" s="1" t="s">
        <v>78</v>
      </c>
      <c r="F75" s="1" t="s">
        <v>64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 x14ac:dyDescent="0.2">
      <c r="A76">
        <v>0</v>
      </c>
      <c r="B76" s="1" t="s">
        <v>84</v>
      </c>
      <c r="C76" s="1" t="s">
        <v>77</v>
      </c>
      <c r="D76" s="1" t="s">
        <v>3</v>
      </c>
      <c r="E76" s="1" t="s">
        <v>78</v>
      </c>
      <c r="F76" s="1" t="s">
        <v>64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 x14ac:dyDescent="0.2">
      <c r="A77">
        <v>0</v>
      </c>
      <c r="B77" s="1" t="s">
        <v>94</v>
      </c>
      <c r="C77" s="1" t="s">
        <v>74</v>
      </c>
      <c r="D77" s="1" t="s">
        <v>3</v>
      </c>
      <c r="E77" s="1" t="s">
        <v>78</v>
      </c>
      <c r="F77" s="1" t="s">
        <v>64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2.7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2.7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2.7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2.7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2.7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2.7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2.7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2.7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2.7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2.7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2.7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2.7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2.7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2.7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2.7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2.7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2.7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2.7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2.7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2.7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2.7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2.7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2.7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2.7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2.7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2.7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2.7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2.7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2.7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2.7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2.7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2.7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2.7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2.7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2.7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2.7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2.7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2.7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2.7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2.7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2.7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2.7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2.7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2.7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2.7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2.7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2.7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2.7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2.7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2.7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2.7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2.7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2.7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2.7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2.7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2.7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2.7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2.7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2.7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2.7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2.7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2.7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2.7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2.7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2.7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2.7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2.7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2.7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2.7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2.7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2.7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2.7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2.7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2.7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2.7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2.7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2.7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2.7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2.7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2.7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2.7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2.7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2.7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2.7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2.7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2.7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2.7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2.7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2.7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2.7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2.7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2.7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2.7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2.7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2.7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2.7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2.7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2.7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2.7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2.7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2.7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2.7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2.7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2.7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2.7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2.7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2.7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2.7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2.7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2.7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2.7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2.7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2.7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2.7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2.7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2.7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2.7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2.7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2.7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2.7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2.7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2.7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2.7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2.7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2.7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2.7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2.7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2.7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2.7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2.7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2.7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2.7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2.7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2.7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2.7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2.7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2.7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2.7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2.7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2.7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2.7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2.7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2.7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2.7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2.7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2.7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2.7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12.7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12.7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12.7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12.7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12.7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12.7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12.7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12.7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12.7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12.7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12.7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12.7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12.7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12.7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12.7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12.7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12.7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12.7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12.7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12.7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12.7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12.7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12.7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12.7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12.7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12.7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12.7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12.7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12.7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12.7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12.7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12.7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12.7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12.7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12.7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12.7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12.7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12.7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12.7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12.7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12.7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12.7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12.7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12.7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12.7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12.7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12.7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12.7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12.7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12.7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12.7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12.7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12.7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12.7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12.7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12.7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12.7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12.7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12.7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12.7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12.7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12.7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12.7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12.7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12.7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12.7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12.7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12.7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12.7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12.7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12.7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12.7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12.7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12.7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12.7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12.7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12.7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12.7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12.7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12.7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12.7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12.7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12.7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12.7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12.7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12.7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12.7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12.7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12.7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12.7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12.7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12.7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12.7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12.7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12.7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12.7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12.7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12.7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12.7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12.7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12.7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12.7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12.7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12.7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12.7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12.7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12.7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12.7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12.7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12.7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12.7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12.7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12.7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12.7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12.7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12.7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12.7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12.7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12.7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12.7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12.7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12.7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12.7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12.7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12.7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12.7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12.7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12.7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12.7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12.7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12.7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12.7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12.7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12.7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12.7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12.7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12.7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12.7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12.7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12.7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12.7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12.7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12.7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12.7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12.7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12.7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12.7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12.7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12.7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12.7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12.7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12.7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12.7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12.7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12.7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12.7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12.7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12.7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12.7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12.7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12.7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12.7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12.7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12.7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12.7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12.7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12.7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12.7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12.7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12.7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12.7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12.7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12.7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12.7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12.7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12.7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12.7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12.7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12.7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12.7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12.7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12.7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12.7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12.7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12.7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12.7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12.7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12.7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12.7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12.7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12.7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12.7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12.7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12.7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12.7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12.7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12.7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12.7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12.7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12.7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12.7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12.7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12.7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12.7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12.7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12.7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12.7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12.7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12.7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12.7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12.7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12.7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12.7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12.7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12.7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12.7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12.7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12.7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12.7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12.7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12.7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12.7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12.7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12.7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12.7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12.7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12.7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12.7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12.7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12.7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12.7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12.7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12.7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12.7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12.7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12.7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12.7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12.7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12.7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12.7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12.7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12.7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12.7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12.7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12.7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12.7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12.7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12.7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12.7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12.7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12.7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12.7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12.7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12.7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12.7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12.7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12.7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12.7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12.7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12.7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12.7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12.7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12.7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12.7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12.7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12.7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12.7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12.7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12.7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12.7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12.7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12.7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12.7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12.7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12.7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12.7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12.7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12.7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12.7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12.7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12.7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12.7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12.7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12.7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12.7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12.7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12.7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12.7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12.7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12.7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12.7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12.7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12.7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12.7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12.7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12.7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12.7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12.7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12.7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12.7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12.7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12.7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12.7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12.7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12.7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12.7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12.7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12.7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12.7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12.7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12.7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12.7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12.7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12.7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12.7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12.7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12.7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12.7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12.7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12.7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12.7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12.7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12.7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12.7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12.7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12.7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12.7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12.7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12.7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12.7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12.7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12.7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12.7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12.7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12.7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12.7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12.7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12.7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12.7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12.7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12.7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12.7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12.7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12.7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12.7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12.7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12.7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12.7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12.7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12.7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12.7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12.7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12.7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12.7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12.7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12.7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12.7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12.7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12.7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12.7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12.7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12.7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12.7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12.7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12.7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12.7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12.7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12.7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12.7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12.7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12.7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12.7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12.7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12.7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12.7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12.7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12.7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12.7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12.7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12.7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12.7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12.7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12.7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12.7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12.7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12.7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12.7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12.7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12.7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12.7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12.7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12.7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12.7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12.7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12.7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12.7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12.7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12.7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12.7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12.7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12.7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12.7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12.7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12.7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12.7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12.7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12.7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12.7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12.7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12.7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12.7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12.7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12.7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12.7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12.7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12.7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12.7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12.7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12.7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12.7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12.7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12.7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12.7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12.7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12.7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12.7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12.7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12.7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12.7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12.7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12.7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12.7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12.7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12.7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12.7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12.7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12.7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12.7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12.7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12.7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12.7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12.7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12.7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12.7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12.7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12.7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12.7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12.7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12.7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12.7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12.7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12.7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12.7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12.7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12.7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12.7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12.7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12.7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12.7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12.7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12.7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12.7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12.7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12.7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12.7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12.7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12.7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12.7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12.7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12.7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12.7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12.7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12.7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12.7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12.7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12.7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12.7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12.7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12.7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12.7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12.7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12.7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12.7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12.7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12.7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12.7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12.7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12.7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12.7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12.7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12.7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12.7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12.7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12.7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12.7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12.7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12.7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12.7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12.7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12.7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12.7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12.7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12.7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12.7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12.7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12.7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12.7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12.7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12.7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12.7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12.7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12.7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12.7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12.7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12.7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12.7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12.7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12.7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12.7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12.7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12.7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12.7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12.7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12.7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12.7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12.7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12.7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12.7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12.7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12.7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12.7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12.7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12.7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12.7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12.7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12.7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12.7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12.7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12.7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12.7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12.7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12.7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12.7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12.7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12.7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12.7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12.7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12.7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12.7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12.7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12.7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12.7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12.7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12.7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12.7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12.7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12.7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12.7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12.7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12.7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12.7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12.7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12.7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12.7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12.7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12.7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12.7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12.7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12.7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12.7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12.7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12.7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12.7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12.7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12.7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12.7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12.7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12.7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12.7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12.7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12.7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12.7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12.7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12.7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12.7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12.7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12.7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12.7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12.7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12.7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12.7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12.7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12.7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12.7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12.7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12.7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12.7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12.7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12.7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12.7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12.7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12.7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12.7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12.7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12.7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12.7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12.7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12.7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12.7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12.7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12.7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12.7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12.7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12.7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12.7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12.7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12.7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12.7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12.7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12.7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12.7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12.7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12.75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12.75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12.75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12.75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12.75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12.75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12.75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12.75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12.75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12.75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12.75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12.75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12.75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12.75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12.75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12.75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12.75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12.75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12.75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12.75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12.75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12.75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12.75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12.75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12.75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12.75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12.75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12.75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12.75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12.75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12.75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12.75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12.75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12.75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12.75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12.75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12.75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12.75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12.75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12.75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12.75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12.75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12.75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12.75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12.75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12.75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12.75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12.75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12.75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12.75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12.75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12.75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12.75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12.75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12.75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12.75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12.75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12.75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12.75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12.75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12.75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12.75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12.75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12.75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12.75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12.75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12.75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12.75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12.75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12.75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12.75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12.75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12.75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12.75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12.75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12.75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12.75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12.75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12.75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12.75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12.75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12.75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12.75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12.75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12.75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12.75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12.75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12.75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12.75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12.75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12.75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12.75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12.75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12.75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12.75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12.75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12.75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12.75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12.75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12.75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12.75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12.75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12.75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12.75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12.75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12.75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12.75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12.75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12.75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12.75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12.75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12.75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12.75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12.75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12.75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12.75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12.75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12.75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12.75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12.75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12.75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12.75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12.75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12.75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12.75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12.75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12.75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12.75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12.75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12.75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12.75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12.75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12.75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12.75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12.75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12.75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12.75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12.75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12.75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12.75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12.75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12.75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2:23" ht="12.75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2:23" ht="12.75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2:23" ht="12.75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2:23" ht="12.75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2:23" ht="12.75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2:23" ht="12.75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2:23" ht="15.75" customHeight="1" x14ac:dyDescent="0.2">
      <c r="H998" s="1"/>
      <c r="I998" s="1"/>
      <c r="J998" s="1"/>
      <c r="K998" s="1"/>
      <c r="L998" s="1"/>
      <c r="M998" s="1"/>
    </row>
  </sheetData>
  <autoFilter ref="B3:F64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Wayland Baptist</vt:lpstr>
      <vt:lpstr>Columbia Basin</vt:lpstr>
      <vt:lpstr>Southern Idaho</vt:lpstr>
      <vt:lpstr>Eastern Florida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Taylor</dc:creator>
  <cp:lastModifiedBy>George Taylor</cp:lastModifiedBy>
  <dcterms:created xsi:type="dcterms:W3CDTF">2024-02-15T03:11:02Z</dcterms:created>
  <dcterms:modified xsi:type="dcterms:W3CDTF">2025-11-11T04:06:07Z</dcterms:modified>
</cp:coreProperties>
</file>